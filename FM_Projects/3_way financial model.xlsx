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icha\Documents\Finance\sandbox\Project\"/>
    </mc:Choice>
  </mc:AlternateContent>
  <xr:revisionPtr revIDLastSave="0" documentId="13_ncr:1_{2A23098E-8EAF-4144-ACCF-378FAD0223F8}" xr6:coauthVersionLast="47" xr6:coauthVersionMax="47" xr10:uidLastSave="{00000000-0000-0000-0000-000000000000}"/>
  <bookViews>
    <workbookView xWindow="-110" yWindow="-110" windowWidth="19420" windowHeight="10300" activeTab="6" xr2:uid="{00000000-000D-0000-FFFF-FFFF00000000}"/>
  </bookViews>
  <sheets>
    <sheet name="Zenith Cafe" sheetId="3" r:id="rId1"/>
    <sheet name="Assumptions" sheetId="2" r:id="rId2"/>
    <sheet name="Revenue" sheetId="5" r:id="rId3"/>
    <sheet name="Expenses" sheetId="7" r:id="rId4"/>
    <sheet name="Balance Sheet" sheetId="1" r:id="rId5"/>
    <sheet name="Cash Flow" sheetId="9" r:id="rId6"/>
    <sheet name="Income St" sheetId="8" r:id="rId7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9" l="1"/>
  <c r="B11" i="2"/>
  <c r="B5" i="5"/>
  <c r="C12" i="1"/>
  <c r="O7" i="8"/>
  <c r="O13" i="8"/>
  <c r="O16" i="8"/>
  <c r="C11" i="1"/>
  <c r="C13" i="1"/>
  <c r="C27" i="1"/>
  <c r="C24" i="1"/>
  <c r="C23" i="1"/>
  <c r="B23" i="1"/>
  <c r="B24" i="1"/>
  <c r="B27" i="1"/>
  <c r="B29" i="1"/>
  <c r="B31" i="1"/>
  <c r="B11" i="1"/>
  <c r="B13" i="1"/>
  <c r="B6" i="1"/>
  <c r="C6" i="1"/>
  <c r="B17" i="9"/>
  <c r="B16" i="9"/>
  <c r="B8" i="9"/>
  <c r="B13" i="9"/>
  <c r="B20" i="9"/>
  <c r="C4" i="9"/>
  <c r="B5" i="1"/>
  <c r="B8" i="1"/>
  <c r="B15" i="1"/>
  <c r="B32" i="1"/>
  <c r="D16" i="8"/>
  <c r="E16" i="8"/>
  <c r="F16" i="8"/>
  <c r="G16" i="8"/>
  <c r="H16" i="8"/>
  <c r="I16" i="8"/>
  <c r="J16" i="8"/>
  <c r="K16" i="8"/>
  <c r="L16" i="8"/>
  <c r="M16" i="8"/>
  <c r="N16" i="8"/>
  <c r="C16" i="8"/>
  <c r="D7" i="8"/>
  <c r="E7" i="8"/>
  <c r="F7" i="8"/>
  <c r="G7" i="8"/>
  <c r="H7" i="8"/>
  <c r="I7" i="8"/>
  <c r="J7" i="8"/>
  <c r="K7" i="8"/>
  <c r="L7" i="8"/>
  <c r="M7" i="8"/>
  <c r="N7" i="8"/>
  <c r="C7" i="8"/>
  <c r="G22" i="7"/>
  <c r="K22" i="7"/>
  <c r="O22" i="7"/>
  <c r="B22" i="7"/>
  <c r="H22" i="7"/>
  <c r="B21" i="7"/>
  <c r="G21" i="7"/>
  <c r="C11" i="7"/>
  <c r="D11" i="7"/>
  <c r="E11" i="7"/>
  <c r="F11" i="7"/>
  <c r="G11" i="7"/>
  <c r="H11" i="7"/>
  <c r="I11" i="7"/>
  <c r="J11" i="7"/>
  <c r="K11" i="7"/>
  <c r="L11" i="7"/>
  <c r="M11" i="7"/>
  <c r="C10" i="7"/>
  <c r="D10" i="7"/>
  <c r="E10" i="7"/>
  <c r="F10" i="7"/>
  <c r="G10" i="7"/>
  <c r="H10" i="7"/>
  <c r="I10" i="7"/>
  <c r="J10" i="7"/>
  <c r="K10" i="7"/>
  <c r="L10" i="7"/>
  <c r="M10" i="7"/>
  <c r="B11" i="7"/>
  <c r="B10" i="7"/>
  <c r="C7" i="7"/>
  <c r="D7" i="7"/>
  <c r="G7" i="7"/>
  <c r="H7" i="7"/>
  <c r="K7" i="7"/>
  <c r="L7" i="7"/>
  <c r="C6" i="7"/>
  <c r="D6" i="7"/>
  <c r="E6" i="7"/>
  <c r="G6" i="7"/>
  <c r="H6" i="7"/>
  <c r="I6" i="7"/>
  <c r="K6" i="7"/>
  <c r="L6" i="7"/>
  <c r="M6" i="7"/>
  <c r="C5" i="7"/>
  <c r="D5" i="7"/>
  <c r="E5" i="7"/>
  <c r="E7" i="7"/>
  <c r="F5" i="7"/>
  <c r="F6" i="7"/>
  <c r="G5" i="7"/>
  <c r="H5" i="7"/>
  <c r="I5" i="7"/>
  <c r="I7" i="7"/>
  <c r="J5" i="7"/>
  <c r="J6" i="7"/>
  <c r="K5" i="7"/>
  <c r="L5" i="7"/>
  <c r="M5" i="7"/>
  <c r="M7" i="7"/>
  <c r="B6" i="7"/>
  <c r="B7" i="7"/>
  <c r="B5" i="7"/>
  <c r="B7" i="5"/>
  <c r="B13" i="5"/>
  <c r="E5" i="5"/>
  <c r="E6" i="5"/>
  <c r="E12" i="5"/>
  <c r="F5" i="5"/>
  <c r="F6" i="5"/>
  <c r="F12" i="5"/>
  <c r="G5" i="5"/>
  <c r="G7" i="5"/>
  <c r="G13" i="5"/>
  <c r="H5" i="5"/>
  <c r="H12" i="7"/>
  <c r="I5" i="5"/>
  <c r="I6" i="5"/>
  <c r="I12" i="5"/>
  <c r="J5" i="5"/>
  <c r="J6" i="5"/>
  <c r="J12" i="5"/>
  <c r="K5" i="5"/>
  <c r="K12" i="7"/>
  <c r="K13" i="7"/>
  <c r="L8" i="8"/>
  <c r="L9" i="8"/>
  <c r="L5" i="5"/>
  <c r="L12" i="7"/>
  <c r="M5" i="5"/>
  <c r="M6" i="5"/>
  <c r="M12" i="5"/>
  <c r="C5" i="5"/>
  <c r="C12" i="7"/>
  <c r="C13" i="7"/>
  <c r="D8" i="8"/>
  <c r="D9" i="8"/>
  <c r="D5" i="5"/>
  <c r="D12" i="7"/>
  <c r="H6" i="5"/>
  <c r="H12" i="5"/>
  <c r="G12" i="7"/>
  <c r="G13" i="7"/>
  <c r="H8" i="8"/>
  <c r="H9" i="8"/>
  <c r="K6" i="5"/>
  <c r="K12" i="5"/>
  <c r="G6" i="5"/>
  <c r="G12" i="5"/>
  <c r="G14" i="5"/>
  <c r="G15" i="5"/>
  <c r="H5" i="8"/>
  <c r="B6" i="5"/>
  <c r="B12" i="5"/>
  <c r="B14" i="5"/>
  <c r="B15" i="5"/>
  <c r="C5" i="8"/>
  <c r="K7" i="5"/>
  <c r="K13" i="5"/>
  <c r="C6" i="5"/>
  <c r="C12" i="5"/>
  <c r="C7" i="5"/>
  <c r="C13" i="5"/>
  <c r="C14" i="5"/>
  <c r="C15" i="5"/>
  <c r="D5" i="8"/>
  <c r="D11" i="8"/>
  <c r="J7" i="5"/>
  <c r="J13" i="5"/>
  <c r="J14" i="5"/>
  <c r="J15" i="5"/>
  <c r="K5" i="8"/>
  <c r="F12" i="7"/>
  <c r="F13" i="7"/>
  <c r="G8" i="8"/>
  <c r="G9" i="8"/>
  <c r="F7" i="5"/>
  <c r="F13" i="5"/>
  <c r="F14" i="5"/>
  <c r="F15" i="5"/>
  <c r="G5" i="8"/>
  <c r="J12" i="7"/>
  <c r="J13" i="7"/>
  <c r="K8" i="8"/>
  <c r="K9" i="8"/>
  <c r="L6" i="5"/>
  <c r="L12" i="5"/>
  <c r="D6" i="5"/>
  <c r="D12" i="5"/>
  <c r="H13" i="7"/>
  <c r="I8" i="8"/>
  <c r="I9" i="8"/>
  <c r="B12" i="7"/>
  <c r="B13" i="7"/>
  <c r="L13" i="7"/>
  <c r="M8" i="8"/>
  <c r="M9" i="8"/>
  <c r="D13" i="7"/>
  <c r="E8" i="8"/>
  <c r="E9" i="8"/>
  <c r="M7" i="5"/>
  <c r="M8" i="5"/>
  <c r="M9" i="5"/>
  <c r="I7" i="5"/>
  <c r="I8" i="5"/>
  <c r="I9" i="5"/>
  <c r="E7" i="5"/>
  <c r="E8" i="5"/>
  <c r="E9" i="5"/>
  <c r="M12" i="7"/>
  <c r="M13" i="7"/>
  <c r="N8" i="8"/>
  <c r="N9" i="8"/>
  <c r="I12" i="7"/>
  <c r="I13" i="7"/>
  <c r="E12" i="7"/>
  <c r="E13" i="7"/>
  <c r="L7" i="5"/>
  <c r="L8" i="5"/>
  <c r="L9" i="5"/>
  <c r="H7" i="5"/>
  <c r="D7" i="5"/>
  <c r="G23" i="7"/>
  <c r="N22" i="7"/>
  <c r="J22" i="7"/>
  <c r="F22" i="7"/>
  <c r="M22" i="7"/>
  <c r="I22" i="7"/>
  <c r="E22" i="7"/>
  <c r="D22" i="7"/>
  <c r="L22" i="7"/>
  <c r="J21" i="7"/>
  <c r="M21" i="7"/>
  <c r="I21" i="7"/>
  <c r="E21" i="7"/>
  <c r="N21" i="7"/>
  <c r="N23" i="7"/>
  <c r="D21" i="7"/>
  <c r="L21" i="7"/>
  <c r="H21" i="7"/>
  <c r="H23" i="7"/>
  <c r="F21" i="7"/>
  <c r="O21" i="7"/>
  <c r="O23" i="7"/>
  <c r="K21" i="7"/>
  <c r="K23" i="7"/>
  <c r="K15" i="7"/>
  <c r="C15" i="7"/>
  <c r="J7" i="7"/>
  <c r="F7" i="7"/>
  <c r="E13" i="5"/>
  <c r="E14" i="5"/>
  <c r="E15" i="5"/>
  <c r="F5" i="8"/>
  <c r="F5" i="1"/>
  <c r="F13" i="1"/>
  <c r="G15" i="7"/>
  <c r="H11" i="8"/>
  <c r="K14" i="5"/>
  <c r="K15" i="5"/>
  <c r="L5" i="8"/>
  <c r="L11" i="8"/>
  <c r="F8" i="5"/>
  <c r="F9" i="5"/>
  <c r="H15" i="7"/>
  <c r="K11" i="8"/>
  <c r="M13" i="5"/>
  <c r="M14" i="5"/>
  <c r="M15" i="5"/>
  <c r="N5" i="8"/>
  <c r="N11" i="8"/>
  <c r="K8" i="5"/>
  <c r="K9" i="5"/>
  <c r="D15" i="7"/>
  <c r="I13" i="5"/>
  <c r="I14" i="5"/>
  <c r="I15" i="5"/>
  <c r="J5" i="8"/>
  <c r="C8" i="5"/>
  <c r="C9" i="5"/>
  <c r="J15" i="7"/>
  <c r="G8" i="5"/>
  <c r="G9" i="5"/>
  <c r="B8" i="5"/>
  <c r="B9" i="5"/>
  <c r="H8" i="5"/>
  <c r="H9" i="5"/>
  <c r="F15" i="7"/>
  <c r="D8" i="5"/>
  <c r="D9" i="5"/>
  <c r="D13" i="5"/>
  <c r="D14" i="5"/>
  <c r="D15" i="5"/>
  <c r="E5" i="8"/>
  <c r="E11" i="8"/>
  <c r="J8" i="5"/>
  <c r="J9" i="5"/>
  <c r="G11" i="8"/>
  <c r="F8" i="8"/>
  <c r="F9" i="8"/>
  <c r="F11" i="8"/>
  <c r="E15" i="7"/>
  <c r="C8" i="8"/>
  <c r="B15" i="7"/>
  <c r="J8" i="8"/>
  <c r="J9" i="8"/>
  <c r="I15" i="7"/>
  <c r="M15" i="7"/>
  <c r="L15" i="7"/>
  <c r="H13" i="5"/>
  <c r="H14" i="5"/>
  <c r="H15" i="5"/>
  <c r="I5" i="8"/>
  <c r="I11" i="8"/>
  <c r="L13" i="5"/>
  <c r="L14" i="5"/>
  <c r="L15" i="5"/>
  <c r="M5" i="8"/>
  <c r="M11" i="8"/>
  <c r="J23" i="7"/>
  <c r="I7" i="9"/>
  <c r="E23" i="7"/>
  <c r="D13" i="8"/>
  <c r="D14" i="8"/>
  <c r="D17" i="8"/>
  <c r="G13" i="8"/>
  <c r="G7" i="9"/>
  <c r="N13" i="8"/>
  <c r="N7" i="9"/>
  <c r="L23" i="7"/>
  <c r="I23" i="7"/>
  <c r="F23" i="7"/>
  <c r="D23" i="7"/>
  <c r="M23" i="7"/>
  <c r="M13" i="8"/>
  <c r="M7" i="9"/>
  <c r="I13" i="8"/>
  <c r="J13" i="8"/>
  <c r="J7" i="9"/>
  <c r="F13" i="8"/>
  <c r="F7" i="9"/>
  <c r="M14" i="8"/>
  <c r="M17" i="8"/>
  <c r="M19" i="8"/>
  <c r="M20" i="8"/>
  <c r="M6" i="9"/>
  <c r="N14" i="8"/>
  <c r="N17" i="8"/>
  <c r="N19" i="8"/>
  <c r="J11" i="8"/>
  <c r="J14" i="8"/>
  <c r="J17" i="8"/>
  <c r="J19" i="8"/>
  <c r="G14" i="8"/>
  <c r="G17" i="8"/>
  <c r="G19" i="8"/>
  <c r="G20" i="8"/>
  <c r="G6" i="9"/>
  <c r="F14" i="8"/>
  <c r="F17" i="8"/>
  <c r="F19" i="8"/>
  <c r="F20" i="8"/>
  <c r="F6" i="9"/>
  <c r="O8" i="8"/>
  <c r="C9" i="8"/>
  <c r="O5" i="8"/>
  <c r="I14" i="8"/>
  <c r="I17" i="8"/>
  <c r="I19" i="8"/>
  <c r="N20" i="8"/>
  <c r="N6" i="9"/>
  <c r="D7" i="9"/>
  <c r="D19" i="8"/>
  <c r="D20" i="8"/>
  <c r="D6" i="9"/>
  <c r="K13" i="8"/>
  <c r="K14" i="8"/>
  <c r="K17" i="8"/>
  <c r="K7" i="9"/>
  <c r="C13" i="8"/>
  <c r="C7" i="9"/>
  <c r="H13" i="8"/>
  <c r="H14" i="8"/>
  <c r="H17" i="8"/>
  <c r="H19" i="8"/>
  <c r="H20" i="8"/>
  <c r="H6" i="9"/>
  <c r="H7" i="9"/>
  <c r="L13" i="8"/>
  <c r="L14" i="8"/>
  <c r="L17" i="8"/>
  <c r="L7" i="9"/>
  <c r="E13" i="8"/>
  <c r="E14" i="8"/>
  <c r="E17" i="8"/>
  <c r="E7" i="9"/>
  <c r="I20" i="8"/>
  <c r="I6" i="9"/>
  <c r="J20" i="8"/>
  <c r="J6" i="9"/>
  <c r="O9" i="8"/>
  <c r="C11" i="8"/>
  <c r="O11" i="8"/>
  <c r="E19" i="8"/>
  <c r="E20" i="8"/>
  <c r="E6" i="9"/>
  <c r="L19" i="8"/>
  <c r="L20" i="8"/>
  <c r="L6" i="9"/>
  <c r="K19" i="8"/>
  <c r="K20" i="8"/>
  <c r="K6" i="9"/>
  <c r="C14" i="8"/>
  <c r="C17" i="8"/>
  <c r="O14" i="8"/>
  <c r="C19" i="8"/>
  <c r="O17" i="8"/>
  <c r="C20" i="8"/>
  <c r="O19" i="8"/>
  <c r="C6" i="9"/>
  <c r="C20" i="9"/>
  <c r="D4" i="9"/>
  <c r="D20" i="9"/>
  <c r="E4" i="9"/>
  <c r="E20" i="9"/>
  <c r="F4" i="9"/>
  <c r="F20" i="9"/>
  <c r="G4" i="9"/>
  <c r="G20" i="9"/>
  <c r="H4" i="9"/>
  <c r="H20" i="9"/>
  <c r="I4" i="9"/>
  <c r="I20" i="9"/>
  <c r="J4" i="9"/>
  <c r="J20" i="9"/>
  <c r="K4" i="9"/>
  <c r="K20" i="9"/>
  <c r="L4" i="9"/>
  <c r="L20" i="9"/>
  <c r="M4" i="9"/>
  <c r="M20" i="9"/>
  <c r="N4" i="9"/>
  <c r="N20" i="9"/>
  <c r="C5" i="1"/>
  <c r="C8" i="1"/>
  <c r="C15" i="1"/>
  <c r="O20" i="8"/>
  <c r="C28" i="1"/>
  <c r="C29" i="1"/>
  <c r="C31" i="1"/>
  <c r="C32" i="1"/>
</calcChain>
</file>

<file path=xl/sharedStrings.xml><?xml version="1.0" encoding="utf-8"?>
<sst xmlns="http://schemas.openxmlformats.org/spreadsheetml/2006/main" count="222" uniqueCount="134">
  <si>
    <t>Sources of Funds</t>
  </si>
  <si>
    <t>Borrowed from the Bank</t>
  </si>
  <si>
    <t>Equity raised</t>
  </si>
  <si>
    <t>Uses of Funds</t>
  </si>
  <si>
    <t>Working Cash</t>
  </si>
  <si>
    <t>Working Inventory</t>
  </si>
  <si>
    <t>Coffee Machine</t>
  </si>
  <si>
    <t>Furniture &amp; Fixtures</t>
  </si>
  <si>
    <t>Total funds sourced</t>
  </si>
  <si>
    <t>Total funds used</t>
  </si>
  <si>
    <t>Cups per day</t>
  </si>
  <si>
    <t>Rent</t>
  </si>
  <si>
    <t>Assumptions</t>
  </si>
  <si>
    <t>Revenue</t>
  </si>
  <si>
    <t>Worst</t>
  </si>
  <si>
    <t>Base</t>
  </si>
  <si>
    <t>Best</t>
  </si>
  <si>
    <t>Avg no cups sold per day</t>
  </si>
  <si>
    <t>Large</t>
  </si>
  <si>
    <t>Small</t>
  </si>
  <si>
    <t>% of units</t>
  </si>
  <si>
    <t>Price</t>
  </si>
  <si>
    <t>Expenses Assumptions</t>
  </si>
  <si>
    <t>Consumables per cup</t>
  </si>
  <si>
    <t>Consumables have been calculated on average for large and small cups</t>
  </si>
  <si>
    <t>Basic Salary</t>
  </si>
  <si>
    <t>Other staff costs and benefits</t>
  </si>
  <si>
    <t>Monthly Rent</t>
  </si>
  <si>
    <t>Monthly Utilities</t>
  </si>
  <si>
    <t>Interest rate</t>
  </si>
  <si>
    <t>Income Tax</t>
  </si>
  <si>
    <t>All GST, VAT or sales tax is excluded for the purposes of this model</t>
  </si>
  <si>
    <t>Other Assumptions</t>
  </si>
  <si>
    <t>Number of business days per month</t>
  </si>
  <si>
    <t>Based on past year calender</t>
  </si>
  <si>
    <t>Based on historical demand data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</si>
  <si>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</si>
  <si>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</si>
  <si>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</si>
  <si>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</si>
  <si>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</si>
  <si>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</si>
  <si>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</si>
  <si>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</si>
  <si>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</si>
  <si>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</si>
  <si>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</si>
  <si>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</si>
  <si>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Seasonality variance (% of an avg)</t>
  </si>
  <si>
    <t>Unit Sales Forecast</t>
  </si>
  <si>
    <t>Cups of coffee sold per day</t>
  </si>
  <si>
    <t>Total</t>
  </si>
  <si>
    <t>error check</t>
  </si>
  <si>
    <t># Sales Forcast</t>
  </si>
  <si>
    <t>Small sales per day</t>
  </si>
  <si>
    <t>Large sales per day</t>
  </si>
  <si>
    <t>Daily Sales</t>
  </si>
  <si>
    <t>Monthly Sales</t>
  </si>
  <si>
    <t>Expenses</t>
  </si>
  <si>
    <t>Staff Costs</t>
  </si>
  <si>
    <t>Barista Salary</t>
  </si>
  <si>
    <t>Total staff costs</t>
  </si>
  <si>
    <t>Utilities</t>
  </si>
  <si>
    <t>Consumables</t>
  </si>
  <si>
    <t>Other Costs</t>
  </si>
  <si>
    <t>Total costs</t>
  </si>
  <si>
    <t>Total other costs</t>
  </si>
  <si>
    <t>Depreciation $ Amortization (D&amp;A) Schedule</t>
  </si>
  <si>
    <t>Purchase PriceUSeful Life</t>
  </si>
  <si>
    <t>Furniture &amp; Fixture</t>
  </si>
  <si>
    <t>Total D&amp;A expense</t>
  </si>
  <si>
    <t>Purchase Cost</t>
  </si>
  <si>
    <t>Lifespan</t>
  </si>
  <si>
    <t xml:space="preserve">Zenith Café </t>
  </si>
  <si>
    <t>Financial Modelling 2025</t>
  </si>
  <si>
    <t>Content</t>
  </si>
  <si>
    <t>Home</t>
  </si>
  <si>
    <t>IS</t>
  </si>
  <si>
    <t>Income Statement</t>
  </si>
  <si>
    <t xml:space="preserve">Sales Estimation - Senarios </t>
  </si>
  <si>
    <t>Income Statement - Scenario</t>
  </si>
  <si>
    <t>Forcast Income Statement</t>
  </si>
  <si>
    <t>Total Expenses</t>
  </si>
  <si>
    <t>EBITDA</t>
  </si>
  <si>
    <t>Depreciation &amp; Amorization (D&amp;A) Expenses</t>
  </si>
  <si>
    <t>EBIT</t>
  </si>
  <si>
    <t>Interest</t>
  </si>
  <si>
    <t>EBT</t>
  </si>
  <si>
    <t>Tax</t>
  </si>
  <si>
    <t>Net Income</t>
  </si>
  <si>
    <t>Balance Sheet</t>
  </si>
  <si>
    <t>BS</t>
  </si>
  <si>
    <t>Cash Flow</t>
  </si>
  <si>
    <t>Forcast Cashflow</t>
  </si>
  <si>
    <t>Pre-Open</t>
  </si>
  <si>
    <t>Opening Cash</t>
  </si>
  <si>
    <t>Cash flow from Operations</t>
  </si>
  <si>
    <t>"-" Increase in inventory</t>
  </si>
  <si>
    <t>"-" Increase in account receivable</t>
  </si>
  <si>
    <t>"+" Increase in account payable</t>
  </si>
  <si>
    <t>Cash flow from Investment</t>
  </si>
  <si>
    <t>Capital expenditure</t>
  </si>
  <si>
    <t>Cash flow from Financing</t>
  </si>
  <si>
    <t>Bank loan</t>
  </si>
  <si>
    <t>Capital raised</t>
  </si>
  <si>
    <t>Paydown of Debt</t>
  </si>
  <si>
    <t>Closing Cash</t>
  </si>
  <si>
    <t>"+" D&amp;A (non-cash)</t>
  </si>
  <si>
    <t>end of</t>
  </si>
  <si>
    <t>Year 0</t>
  </si>
  <si>
    <t>Year 1</t>
  </si>
  <si>
    <t>ASSETS</t>
  </si>
  <si>
    <t>Current Assets</t>
  </si>
  <si>
    <t>Cash at Bank</t>
  </si>
  <si>
    <t>Investory</t>
  </si>
  <si>
    <t>Account Receivable</t>
  </si>
  <si>
    <t>Total Current Assets</t>
  </si>
  <si>
    <t>Fixed Assets</t>
  </si>
  <si>
    <t>Gross PP&amp;E</t>
  </si>
  <si>
    <t>Less: Depreciation &amp; Amortization</t>
  </si>
  <si>
    <t>TOTAL ASSETS</t>
  </si>
  <si>
    <t>LIABILITIES</t>
  </si>
  <si>
    <t>Current Liabilities</t>
  </si>
  <si>
    <t>Account Payable</t>
  </si>
  <si>
    <t>Total Current Liabilities</t>
  </si>
  <si>
    <t>Long Term Liabilities</t>
  </si>
  <si>
    <t>Bank Loan</t>
  </si>
  <si>
    <t>EQUITY</t>
  </si>
  <si>
    <t>Owner's Funds</t>
  </si>
  <si>
    <t>Retained Earnings</t>
  </si>
  <si>
    <t>Total Equity</t>
  </si>
  <si>
    <t>TOTAL LIABILITIES &amp; EQUITY</t>
  </si>
  <si>
    <t>Scenario:</t>
  </si>
  <si>
    <t>About the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</si>
</sst>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₦&quot;* #,##0.00_-;\-&quot;₦&quot;* #,##0.00_-;_-&quot;₦&quot;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6"/>
      <color theme="4" tint="-0.249977111117893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u/>
      <sz val="14"/>
      <color theme="4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4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i/>
      <u/>
      <sz val="11"/>
      <color theme="4" tint="0.39997558519241921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i/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59">
    <xf numFmtId="0" fontId="0" fillId="0" borderId="0" xfId="0"/>
    <xf numFmtId="0" fontId="0" fillId="2" borderId="0" xfId="0" applyFill="1"/>
    <xf numFmtId="0" fontId="5" fillId="2" borderId="0" xfId="0" applyFont="1" applyFill="1"/>
    <xf numFmtId="0" fontId="0" fillId="3" borderId="0" xfId="0" applyFill="1"/>
    <xf numFmtId="44" fontId="0" fillId="3" borderId="0" xfId="1" applyFont="1" applyFill="1"/>
    <xf numFmtId="44" fontId="0" fillId="0" borderId="0" xfId="0" applyNumberFormat="1"/>
    <xf numFmtId="0" fontId="4" fillId="0" borderId="0" xfId="0" applyFont="1"/>
    <xf numFmtId="44" fontId="4" fillId="0" borderId="0" xfId="0" applyNumberFormat="1" applyFont="1"/>
    <xf numFmtId="0" fontId="7" fillId="0" borderId="0" xfId="0" applyFont="1"/>
    <xf numFmtId="0" fontId="0" fillId="0" borderId="0" xfId="0" applyFill="1"/>
    <xf numFmtId="9" fontId="0" fillId="3" borderId="0" xfId="2" applyFont="1" applyFill="1"/>
    <xf numFmtId="9" fontId="0" fillId="3" borderId="0" xfId="2" applyNumberFormat="1" applyFont="1" applyFill="1"/>
    <xf numFmtId="44" fontId="0" fillId="3" borderId="0" xfId="1" applyNumberFormat="1" applyFont="1" applyFill="1"/>
    <xf numFmtId="0" fontId="6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/>
    <xf numFmtId="1" fontId="0" fillId="0" borderId="0" xfId="0" applyNumberFormat="1"/>
    <xf numFmtId="1" fontId="0" fillId="4" borderId="0" xfId="0" applyNumberFormat="1" applyFill="1"/>
    <xf numFmtId="0" fontId="11" fillId="0" borderId="0" xfId="0" applyFont="1"/>
    <xf numFmtId="1" fontId="3" fillId="0" borderId="0" xfId="0" applyNumberFormat="1" applyFont="1"/>
    <xf numFmtId="44" fontId="0" fillId="0" borderId="0" xfId="1" applyFont="1"/>
    <xf numFmtId="44" fontId="0" fillId="4" borderId="0" xfId="0" applyNumberFormat="1" applyFill="1"/>
    <xf numFmtId="44" fontId="0" fillId="5" borderId="0" xfId="0" applyNumberFormat="1" applyFill="1"/>
    <xf numFmtId="0" fontId="0" fillId="0" borderId="0" xfId="0" applyFont="1" applyAlignment="1">
      <alignment horizontal="center"/>
    </xf>
    <xf numFmtId="44" fontId="0" fillId="0" borderId="0" xfId="0" applyNumberFormat="1" applyFill="1"/>
    <xf numFmtId="44" fontId="0" fillId="4" borderId="0" xfId="1" applyFont="1" applyFill="1"/>
    <xf numFmtId="0" fontId="12" fillId="0" borderId="0" xfId="0" applyFont="1"/>
    <xf numFmtId="0" fontId="8" fillId="3" borderId="0" xfId="0" applyFont="1" applyFill="1"/>
    <xf numFmtId="0" fontId="14" fillId="0" borderId="0" xfId="0" applyFont="1"/>
    <xf numFmtId="0" fontId="17" fillId="0" borderId="0" xfId="0" applyFont="1"/>
    <xf numFmtId="0" fontId="18" fillId="0" borderId="0" xfId="3" applyFont="1"/>
    <xf numFmtId="0" fontId="19" fillId="0" borderId="0" xfId="3" applyFont="1"/>
    <xf numFmtId="0" fontId="20" fillId="0" borderId="0" xfId="3" applyFont="1"/>
    <xf numFmtId="0" fontId="12" fillId="0" borderId="0" xfId="3" applyFont="1"/>
    <xf numFmtId="0" fontId="0" fillId="0" borderId="1" xfId="0" applyFont="1" applyBorder="1"/>
    <xf numFmtId="0" fontId="0" fillId="0" borderId="1" xfId="0" applyBorder="1"/>
    <xf numFmtId="0" fontId="21" fillId="0" borderId="0" xfId="0" applyFont="1"/>
    <xf numFmtId="44" fontId="0" fillId="0" borderId="1" xfId="0" applyNumberFormat="1" applyFont="1" applyBorder="1"/>
    <xf numFmtId="44" fontId="0" fillId="0" borderId="1" xfId="0" applyNumberFormat="1" applyBorder="1"/>
    <xf numFmtId="0" fontId="15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22" fillId="2" borderId="0" xfId="0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23" fillId="0" borderId="0" xfId="0" applyFont="1"/>
    <xf numFmtId="0" fontId="24" fillId="0" borderId="0" xfId="0" applyFont="1"/>
    <xf numFmtId="0" fontId="2" fillId="4" borderId="0" xfId="0" applyFont="1" applyFill="1"/>
    <xf numFmtId="44" fontId="5" fillId="4" borderId="0" xfId="0" applyNumberFormat="1" applyFont="1" applyFill="1"/>
    <xf numFmtId="0" fontId="11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3" fillId="3" borderId="0" xfId="0" applyFont="1" applyFill="1"/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374650</xdr:colOff>
      <xdr:row>1</xdr:row>
      <xdr:rowOff>215900</xdr:rowOff>
    </xdr:from>
    <xdr:to>
      <xdr:col>8</xdr:col>
      <xdr:colOff>69850</xdr:colOff>
      <xdr:row>2</xdr:row>
      <xdr:rowOff>180848</xdr:rowOff>
    </xdr:to>
    <xdr:sp macro="" textlink="">
      <xdr:nvSpPr>
        <xdr:cNvPr id="2" name="Flowchart: Magnetic Disk 1">
          <a:extLst>
            <a:ext uri="{FF2B5EF4-FFF2-40B4-BE49-F238E27FC236}">
              <a16:creationId xmlns:a16="http://schemas.microsoft.com/office/drawing/2014/main" id="{F2869682-2DB6-4053-A71C-07F2A2E8C28F}"/>
            </a:ext>
          </a:extLst>
        </xdr:cNvPr>
        <xdr:cNvSpPr/>
      </xdr:nvSpPr>
      <xdr:spPr>
        <a:xfrm>
          <a:off x="4032250" y="400050"/>
          <a:ext cx="914400" cy="612648"/>
        </a:xfrm>
        <a:prstGeom prst="flowChartMagneticDisk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6C3D6-D27E-46D2-B675-549CD2FD9FF4}">
  <dimension ref="A2:I17"/>
  <sheetViews>
    <sheetView workbookViewId="0">
      <selection activeCell="L8" sqref="L8"/>
    </sheetView>
  </sheetViews>
  <sheetFormatPr defaultRowHeight="14.5" x14ac:dyDescent="0.35"/>
  <cols>
    <col min="1" max="1" width="12.36328125" bestFit="1" customWidth="1"/>
    <col min="2" max="2" width="16.36328125" bestFit="1" customWidth="1"/>
  </cols>
  <sheetData>
    <row r="2" spans="1:9" ht="51" customHeight="1" x14ac:dyDescent="0.35">
      <c r="A2" s="55" t="s">
        <v>73</v>
      </c>
      <c r="B2" s="55"/>
      <c r="C2" s="55"/>
      <c r="D2" s="55"/>
      <c r="E2" s="55"/>
      <c r="F2" s="55"/>
      <c r="G2" s="55"/>
      <c r="H2" s="55"/>
      <c r="I2" s="55"/>
    </row>
    <row r="3" spans="1:9" x14ac:dyDescent="0.35">
      <c r="A3" s="55"/>
      <c r="B3" s="55"/>
      <c r="C3" s="55"/>
      <c r="D3" s="55"/>
      <c r="E3" s="55"/>
      <c r="F3" s="55"/>
      <c r="G3" s="55"/>
      <c r="H3" s="55"/>
      <c r="I3" s="55"/>
    </row>
    <row r="4" spans="1:9" ht="12" customHeight="1" x14ac:dyDescent="0.35">
      <c r="A4" s="55"/>
      <c r="B4" s="55"/>
      <c r="C4" s="55"/>
      <c r="D4" s="55"/>
      <c r="E4" s="55"/>
      <c r="F4" s="55"/>
      <c r="G4" s="55"/>
      <c r="H4" s="55"/>
      <c r="I4" s="55"/>
    </row>
    <row r="5" spans="1:9" hidden="1" x14ac:dyDescent="0.35">
      <c r="A5" s="55"/>
      <c r="B5" s="55"/>
      <c r="C5" s="55"/>
      <c r="D5" s="55"/>
      <c r="E5" s="55"/>
      <c r="F5" s="55"/>
      <c r="G5" s="55"/>
      <c r="H5" s="55"/>
      <c r="I5" s="55"/>
    </row>
    <row r="6" spans="1:9" x14ac:dyDescent="0.35">
      <c r="A6" s="56" t="s">
        <v>74</v>
      </c>
      <c r="B6" s="56"/>
      <c r="C6" s="56"/>
      <c r="D6" s="56"/>
      <c r="E6" s="56"/>
      <c r="F6" s="56"/>
      <c r="G6" s="56"/>
      <c r="H6" s="56"/>
      <c r="I6" s="56"/>
    </row>
    <row r="7" spans="1:9" x14ac:dyDescent="0.35">
      <c r="A7" s="44" t="s">
        <v>133</v>
      </c>
      <c r="B7" s="44"/>
      <c r="C7" s="44"/>
      <c r="D7" s="44"/>
      <c r="E7" s="44"/>
      <c r="F7" s="44"/>
      <c r="G7" s="44"/>
      <c r="H7" s="44"/>
      <c r="I7" s="44"/>
    </row>
    <row r="8" spans="1:9" x14ac:dyDescent="0.35">
      <c r="A8" s="44"/>
      <c r="B8" s="44"/>
      <c r="C8" s="44"/>
      <c r="D8" s="44"/>
      <c r="E8" s="44"/>
      <c r="F8" s="44"/>
      <c r="G8" s="44"/>
      <c r="H8" s="44"/>
      <c r="I8" s="44"/>
    </row>
    <row r="9" spans="1:9" x14ac:dyDescent="0.35">
      <c r="A9" s="44"/>
      <c r="B9" s="44"/>
      <c r="C9" s="44"/>
      <c r="D9" s="44"/>
      <c r="E9" s="44"/>
      <c r="F9" s="44"/>
      <c r="G9" s="44"/>
      <c r="H9" s="44"/>
      <c r="I9" s="44"/>
    </row>
    <row r="11" spans="1:9" ht="18.5" x14ac:dyDescent="0.45">
      <c r="A11" s="34" t="s">
        <v>75</v>
      </c>
    </row>
    <row r="12" spans="1:9" x14ac:dyDescent="0.35">
      <c r="A12" s="33" t="s">
        <v>90</v>
      </c>
      <c r="B12" s="37" t="s">
        <v>91</v>
      </c>
    </row>
    <row r="13" spans="1:9" x14ac:dyDescent="0.35">
      <c r="A13" s="33" t="s">
        <v>12</v>
      </c>
      <c r="B13" s="35" t="s">
        <v>12</v>
      </c>
    </row>
    <row r="14" spans="1:9" x14ac:dyDescent="0.35">
      <c r="A14" s="33" t="s">
        <v>13</v>
      </c>
      <c r="B14" s="35" t="s">
        <v>13</v>
      </c>
    </row>
    <row r="15" spans="1:9" x14ac:dyDescent="0.35">
      <c r="A15" s="33" t="s">
        <v>58</v>
      </c>
      <c r="B15" s="35" t="s">
        <v>58</v>
      </c>
    </row>
    <row r="16" spans="1:9" x14ac:dyDescent="0.35">
      <c r="A16" s="33" t="s">
        <v>77</v>
      </c>
      <c r="B16" s="35" t="s">
        <v>78</v>
      </c>
    </row>
    <row r="17" spans="1:2" x14ac:dyDescent="0.35">
      <c r="A17" s="33" t="s">
        <v>92</v>
      </c>
      <c r="B17" s="37" t="s">
        <v>92</v>
      </c>
    </row>
  </sheetData>
  <mergeCells count="2">
    <mergeCell ref="A2:I5"/>
    <mergeCell ref="A6:I6"/>
  </mergeCells>
  <hyperlinks>
    <hyperlink ref="B13" location="Assumptions!A1" display="Assumptions" xr:uid="{57AB2FAC-4C0F-4A4D-81FB-F69AD1F2CE10}"/>
    <hyperlink ref="B14" location="Revenue!A1" display="Revenue" xr:uid="{B055296A-DE22-466D-A310-015E1C257CCB}"/>
    <hyperlink ref="B15" location="Expenses!A1" display="Expenses" xr:uid="{2F1CC693-CAEE-4C71-A3D4-5D03F9D06325}"/>
    <hyperlink ref="B12" location="BS!A1" display="BS" xr:uid="{A0770DB6-8A61-4528-8CB9-32C774C151FF}"/>
    <hyperlink ref="B16" location="IS!A1" display="Income Statement" xr:uid="{9F27228B-C06E-4627-86E5-DAA39575D7BB}"/>
    <hyperlink ref="B17" location="CF!A1" display="Cash Flow" xr:uid="{1CA6FA64-0302-4108-8C4A-04C1C925FF4F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C5FCF-0BBB-47CD-A6AB-801BD2787CFA}">
  <dimension ref="A1:N42"/>
  <sheetViews>
    <sheetView topLeftCell="A13" workbookViewId="0">
      <selection activeCell="G19" sqref="G19"/>
    </sheetView>
  </sheetViews>
  <sheetFormatPr defaultRowHeight="14.5" x14ac:dyDescent="0.35"/>
  <cols>
    <col min="1" max="1" width="32.7265625" customWidth="1"/>
    <col min="2" max="2" width="11.36328125" bestFit="1" customWidth="1"/>
    <col min="3" max="4" width="10.36328125" bestFit="1" customWidth="1"/>
  </cols>
  <sheetData>
    <row r="1" spans="1:7" ht="21" x14ac:dyDescent="0.5">
      <c r="A1" s="57" t="s">
        <v>79</v>
      </c>
      <c r="B1" s="57"/>
      <c r="C1" s="57"/>
      <c r="D1" s="57"/>
      <c r="E1" s="57"/>
      <c r="F1" s="57"/>
      <c r="G1" s="57"/>
    </row>
    <row r="2" spans="1:7" ht="18.5" x14ac:dyDescent="0.45">
      <c r="A2" s="38" t="s">
        <v>76</v>
      </c>
    </row>
    <row r="3" spans="1:7" x14ac:dyDescent="0.35">
      <c r="B3" s="16" t="s">
        <v>14</v>
      </c>
      <c r="C3" s="16" t="s">
        <v>15</v>
      </c>
      <c r="D3" s="16" t="s">
        <v>16</v>
      </c>
    </row>
    <row r="4" spans="1:7" x14ac:dyDescent="0.35">
      <c r="A4" t="s">
        <v>10</v>
      </c>
      <c r="B4" s="3">
        <v>100</v>
      </c>
      <c r="C4" s="3">
        <v>120</v>
      </c>
      <c r="D4" s="3">
        <v>140</v>
      </c>
    </row>
    <row r="5" spans="1:7" x14ac:dyDescent="0.35">
      <c r="A5" t="s">
        <v>11</v>
      </c>
      <c r="B5" s="4">
        <v>1320</v>
      </c>
      <c r="C5" s="4">
        <v>1200</v>
      </c>
      <c r="D5" s="4">
        <v>1080</v>
      </c>
    </row>
    <row r="8" spans="1:7" ht="18.5" x14ac:dyDescent="0.45">
      <c r="A8" s="31" t="s">
        <v>12</v>
      </c>
    </row>
    <row r="9" spans="1:7" x14ac:dyDescent="0.35">
      <c r="A9" s="6" t="s">
        <v>13</v>
      </c>
    </row>
    <row r="11" spans="1:7" x14ac:dyDescent="0.35">
      <c r="A11" t="s">
        <v>17</v>
      </c>
      <c r="B11" s="3">
        <f>HLOOKUP('Income St'!$B$1,B3:D4,2,0)</f>
        <v>100</v>
      </c>
    </row>
    <row r="15" spans="1:7" x14ac:dyDescent="0.35">
      <c r="B15" s="6" t="s">
        <v>20</v>
      </c>
      <c r="C15" s="6" t="s">
        <v>21</v>
      </c>
    </row>
    <row r="16" spans="1:7" x14ac:dyDescent="0.35">
      <c r="A16" t="s">
        <v>18</v>
      </c>
      <c r="B16" s="11">
        <v>0.4</v>
      </c>
      <c r="C16" s="12">
        <v>4</v>
      </c>
      <c r="D16" s="9"/>
    </row>
    <row r="17" spans="1:4" x14ac:dyDescent="0.35">
      <c r="A17" t="s">
        <v>19</v>
      </c>
      <c r="B17" s="11">
        <v>0.6</v>
      </c>
      <c r="C17" s="12">
        <v>3.5</v>
      </c>
      <c r="D17" s="9"/>
    </row>
    <row r="20" spans="1:4" ht="21" x14ac:dyDescent="0.5">
      <c r="A20" s="58" t="s">
        <v>22</v>
      </c>
      <c r="B20" s="58"/>
      <c r="C20" s="58"/>
      <c r="D20" s="58"/>
    </row>
    <row r="22" spans="1:4" x14ac:dyDescent="0.35">
      <c r="A22" t="s">
        <v>23</v>
      </c>
      <c r="B22" s="11">
        <v>0.45</v>
      </c>
    </row>
    <row r="23" spans="1:4" x14ac:dyDescent="0.35">
      <c r="A23" s="14" t="s">
        <v>24</v>
      </c>
    </row>
    <row r="25" spans="1:4" x14ac:dyDescent="0.35">
      <c r="A25" t="s">
        <v>25</v>
      </c>
      <c r="B25" s="4">
        <v>50000</v>
      </c>
    </row>
    <row r="26" spans="1:4" x14ac:dyDescent="0.35">
      <c r="A26" t="s">
        <v>26</v>
      </c>
      <c r="B26" s="10">
        <v>0.25</v>
      </c>
    </row>
    <row r="28" spans="1:4" x14ac:dyDescent="0.35">
      <c r="A28" t="s">
        <v>27</v>
      </c>
      <c r="B28" s="4">
        <v>1200</v>
      </c>
    </row>
    <row r="29" spans="1:4" x14ac:dyDescent="0.35">
      <c r="A29" t="s">
        <v>28</v>
      </c>
      <c r="B29" s="4">
        <v>100</v>
      </c>
    </row>
    <row r="31" spans="1:4" x14ac:dyDescent="0.35">
      <c r="A31" t="s">
        <v>29</v>
      </c>
      <c r="B31" s="10">
        <v>7.0000000000000007E-2</v>
      </c>
    </row>
    <row r="32" spans="1:4" x14ac:dyDescent="0.35">
      <c r="A32" t="s">
        <v>30</v>
      </c>
      <c r="B32" s="10">
        <v>0.3</v>
      </c>
    </row>
    <row r="33" spans="1:14" x14ac:dyDescent="0.35">
      <c r="A33" s="14" t="s">
        <v>31</v>
      </c>
    </row>
    <row r="36" spans="1:14" ht="21" x14ac:dyDescent="0.5">
      <c r="A36" s="15" t="s">
        <v>32</v>
      </c>
    </row>
    <row r="38" spans="1:14" x14ac:dyDescent="0.35">
      <c r="B38" s="16" t="s">
        <v>36</v>
      </c>
      <c r="C38" s="16" t="s">
        <v>37</v>
      </c>
      <c r="D38" s="16" t="s">
        <v>38</v>
      </c>
      <c r="E38" s="16" t="s">
        <v>39</v>
      </c>
      <c r="F38" s="16" t="s">
        <v>40</v>
      </c>
      <c r="G38" s="16" t="s">
        <v>41</v>
      </c>
      <c r="H38" s="16" t="s">
        <v>42</v>
      </c>
      <c r="I38" s="16" t="s">
        <v>43</v>
      </c>
      <c r="J38" s="16" t="s">
        <v>44</v>
      </c>
      <c r="K38" s="16" t="s">
        <v>45</v>
      </c>
      <c r="L38" s="16" t="s">
        <v>46</v>
      </c>
      <c r="M38" s="16" t="s">
        <v>47</v>
      </c>
      <c r="N38" s="8"/>
    </row>
    <row r="39" spans="1:14" x14ac:dyDescent="0.35">
      <c r="A39" t="s">
        <v>33</v>
      </c>
      <c r="B39" s="3">
        <v>22</v>
      </c>
      <c r="C39" s="3">
        <v>20</v>
      </c>
      <c r="D39" s="3">
        <v>22</v>
      </c>
      <c r="E39" s="3">
        <v>18</v>
      </c>
      <c r="F39" s="3">
        <v>23</v>
      </c>
      <c r="G39" s="3">
        <v>21</v>
      </c>
      <c r="H39" s="3">
        <v>22</v>
      </c>
      <c r="I39" s="3">
        <v>22</v>
      </c>
      <c r="J39" s="3">
        <v>20</v>
      </c>
      <c r="K39" s="3">
        <v>20</v>
      </c>
      <c r="L39" s="3">
        <v>22</v>
      </c>
      <c r="M39" s="3">
        <v>19</v>
      </c>
    </row>
    <row r="40" spans="1:14" x14ac:dyDescent="0.35">
      <c r="A40" s="14" t="s">
        <v>34</v>
      </c>
    </row>
    <row r="41" spans="1:14" x14ac:dyDescent="0.35">
      <c r="A41" t="s">
        <v>48</v>
      </c>
      <c r="B41" s="10">
        <v>0.8</v>
      </c>
      <c r="C41" s="10">
        <v>0.9</v>
      </c>
      <c r="D41" s="11">
        <v>1</v>
      </c>
      <c r="E41" s="11">
        <v>1</v>
      </c>
      <c r="F41" s="10">
        <v>1.1000000000000001</v>
      </c>
      <c r="G41" s="10">
        <v>1.2</v>
      </c>
      <c r="H41" s="10">
        <v>1.2</v>
      </c>
      <c r="I41" s="10">
        <v>1.1000000000000001</v>
      </c>
      <c r="J41" s="10">
        <v>1</v>
      </c>
      <c r="K41" s="10">
        <v>1</v>
      </c>
      <c r="L41" s="10">
        <v>0.9</v>
      </c>
      <c r="M41" s="10">
        <v>0.8</v>
      </c>
    </row>
    <row r="42" spans="1:14" x14ac:dyDescent="0.35">
      <c r="A42" s="14" t="s">
        <v>35</v>
      </c>
    </row>
  </sheetData>
  <mergeCells count="2">
    <mergeCell ref="A1:G1"/>
    <mergeCell ref="A20:D20"/>
  </mergeCells>
  <phoneticPr fontId="10" type="noConversion"/>
  <hyperlinks>
    <hyperlink ref="A2" location="'Zenith Cafe'!A1" display="Home" xr:uid="{064D0AD2-ED51-4CA0-9A84-23263262D214}"/>
  </hyperlink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59B5D-E191-4279-B821-891CD2AEE7D6}">
  <dimension ref="A1:M15"/>
  <sheetViews>
    <sheetView zoomScale="93" zoomScaleNormal="93" workbookViewId="0">
      <selection activeCell="B5" sqref="B5"/>
    </sheetView>
  </sheetViews>
  <sheetFormatPr defaultRowHeight="14.5" x14ac:dyDescent="0.35"/>
  <cols>
    <col min="1" max="1" width="24.81640625" customWidth="1"/>
    <col min="2" max="3" width="10.81640625" bestFit="1" customWidth="1"/>
    <col min="4" max="4" width="11.90625" bestFit="1" customWidth="1"/>
    <col min="5" max="5" width="10.81640625" bestFit="1" customWidth="1"/>
    <col min="6" max="12" width="11.90625" bestFit="1" customWidth="1"/>
    <col min="13" max="13" width="10.81640625" bestFit="1" customWidth="1"/>
  </cols>
  <sheetData>
    <row r="1" spans="1:13" ht="21" x14ac:dyDescent="0.5">
      <c r="A1" s="13" t="s">
        <v>13</v>
      </c>
      <c r="B1" s="36" t="s">
        <v>76</v>
      </c>
      <c r="C1" s="13"/>
    </row>
    <row r="3" spans="1:13" x14ac:dyDescent="0.35">
      <c r="A3" s="1"/>
      <c r="B3" s="18" t="s">
        <v>36</v>
      </c>
      <c r="C3" s="18" t="s">
        <v>37</v>
      </c>
      <c r="D3" s="18" t="s">
        <v>38</v>
      </c>
      <c r="E3" s="18" t="s">
        <v>39</v>
      </c>
      <c r="F3" s="18" t="s">
        <v>40</v>
      </c>
      <c r="G3" s="18" t="s">
        <v>41</v>
      </c>
      <c r="H3" s="18" t="s">
        <v>42</v>
      </c>
      <c r="I3" s="18" t="s">
        <v>43</v>
      </c>
      <c r="J3" s="18" t="s">
        <v>44</v>
      </c>
      <c r="K3" s="18" t="s">
        <v>45</v>
      </c>
      <c r="L3" s="18" t="s">
        <v>46</v>
      </c>
      <c r="M3" s="18" t="s">
        <v>47</v>
      </c>
    </row>
    <row r="4" spans="1:13" x14ac:dyDescent="0.35">
      <c r="A4" s="6" t="s">
        <v>49</v>
      </c>
    </row>
    <row r="5" spans="1:13" x14ac:dyDescent="0.35">
      <c r="A5" t="s">
        <v>50</v>
      </c>
      <c r="B5">
        <f>Assumptions!$B$11*Assumptions!B41</f>
        <v>80</v>
      </c>
      <c r="C5">
        <f>Assumptions!$B$11*Assumptions!C41</f>
        <v>90</v>
      </c>
      <c r="D5">
        <f>Assumptions!$B$11*Assumptions!D41</f>
        <v>100</v>
      </c>
      <c r="E5">
        <f>Assumptions!$B$11*Assumptions!E41</f>
        <v>100</v>
      </c>
      <c r="F5">
        <f>Assumptions!$B$11*Assumptions!F41</f>
        <v>110.00000000000001</v>
      </c>
      <c r="G5">
        <f>Assumptions!$B$11*Assumptions!G41</f>
        <v>120</v>
      </c>
      <c r="H5">
        <f>Assumptions!$B$11*Assumptions!H41</f>
        <v>120</v>
      </c>
      <c r="I5">
        <f>Assumptions!$B$11*Assumptions!I41</f>
        <v>110.00000000000001</v>
      </c>
      <c r="J5">
        <f>Assumptions!$B$11*Assumptions!J41</f>
        <v>100</v>
      </c>
      <c r="K5">
        <f>Assumptions!$B$11*Assumptions!K41</f>
        <v>100</v>
      </c>
      <c r="L5">
        <f>Assumptions!$B$11*Assumptions!L41</f>
        <v>90</v>
      </c>
      <c r="M5">
        <f>Assumptions!$B$11*Assumptions!M41</f>
        <v>80</v>
      </c>
    </row>
    <row r="6" spans="1:13" x14ac:dyDescent="0.35">
      <c r="A6" s="17" t="s">
        <v>18</v>
      </c>
      <c r="B6" s="21">
        <f>Assumptions!$B$16*Revenue!B5</f>
        <v>32</v>
      </c>
      <c r="C6" s="21">
        <f>Assumptions!$B$16*Revenue!C5</f>
        <v>36</v>
      </c>
      <c r="D6" s="21">
        <f>Assumptions!$B$16*Revenue!D5</f>
        <v>40</v>
      </c>
      <c r="E6" s="21">
        <f>Assumptions!$B$16*Revenue!E5</f>
        <v>40</v>
      </c>
      <c r="F6" s="21">
        <f>Assumptions!$B$16*Revenue!F5</f>
        <v>44.000000000000007</v>
      </c>
      <c r="G6" s="21">
        <f>Assumptions!$B$16*Revenue!G5</f>
        <v>48</v>
      </c>
      <c r="H6" s="21">
        <f>Assumptions!$B$16*Revenue!H5</f>
        <v>48</v>
      </c>
      <c r="I6" s="21">
        <f>Assumptions!$B$16*Revenue!I5</f>
        <v>44.000000000000007</v>
      </c>
      <c r="J6" s="21">
        <f>Assumptions!$B$16*Revenue!J5</f>
        <v>40</v>
      </c>
      <c r="K6" s="21">
        <f>Assumptions!$B$16*Revenue!K5</f>
        <v>40</v>
      </c>
      <c r="L6" s="21">
        <f>Assumptions!$B$16*Revenue!L5</f>
        <v>36</v>
      </c>
      <c r="M6" s="21">
        <f>Assumptions!$B$16*Revenue!M5</f>
        <v>32</v>
      </c>
    </row>
    <row r="7" spans="1:13" x14ac:dyDescent="0.35">
      <c r="A7" s="17" t="s">
        <v>19</v>
      </c>
      <c r="B7" s="21">
        <f>Assumptions!$B$17*Revenue!B5</f>
        <v>48</v>
      </c>
      <c r="C7" s="21">
        <f>Assumptions!$B$17*Revenue!C5</f>
        <v>54</v>
      </c>
      <c r="D7" s="21">
        <f>Assumptions!$B$17*Revenue!D5</f>
        <v>60</v>
      </c>
      <c r="E7" s="21">
        <f>Assumptions!$B$17*Revenue!E5</f>
        <v>60</v>
      </c>
      <c r="F7" s="21">
        <f>Assumptions!$B$17*Revenue!F5</f>
        <v>66</v>
      </c>
      <c r="G7" s="21">
        <f>Assumptions!$B$17*Revenue!G5</f>
        <v>72</v>
      </c>
      <c r="H7" s="21">
        <f>Assumptions!$B$17*Revenue!H5</f>
        <v>72</v>
      </c>
      <c r="I7" s="21">
        <f>Assumptions!$B$17*Revenue!I5</f>
        <v>66</v>
      </c>
      <c r="J7" s="21">
        <f>Assumptions!$B$17*Revenue!J5</f>
        <v>60</v>
      </c>
      <c r="K7" s="21">
        <f>Assumptions!$B$17*Revenue!K5</f>
        <v>60</v>
      </c>
      <c r="L7" s="21">
        <f>Assumptions!$B$17*Revenue!L5</f>
        <v>54</v>
      </c>
      <c r="M7" s="21">
        <f>Assumptions!$B$17*Revenue!M5</f>
        <v>48</v>
      </c>
    </row>
    <row r="8" spans="1:13" x14ac:dyDescent="0.35">
      <c r="A8" s="19" t="s">
        <v>51</v>
      </c>
      <c r="B8" s="22">
        <f>SUM(B6:B7)</f>
        <v>80</v>
      </c>
      <c r="C8" s="22">
        <f t="shared" ref="C8:M8" si="0">SUM(C6:C7)</f>
        <v>90</v>
      </c>
      <c r="D8" s="22">
        <f t="shared" si="0"/>
        <v>100</v>
      </c>
      <c r="E8" s="22">
        <f t="shared" si="0"/>
        <v>100</v>
      </c>
      <c r="F8" s="22">
        <f t="shared" si="0"/>
        <v>110</v>
      </c>
      <c r="G8" s="22">
        <f t="shared" si="0"/>
        <v>120</v>
      </c>
      <c r="H8" s="22">
        <f t="shared" si="0"/>
        <v>120</v>
      </c>
      <c r="I8" s="22">
        <f t="shared" si="0"/>
        <v>110</v>
      </c>
      <c r="J8" s="22">
        <f t="shared" si="0"/>
        <v>100</v>
      </c>
      <c r="K8" s="22">
        <f t="shared" si="0"/>
        <v>100</v>
      </c>
      <c r="L8" s="22">
        <f t="shared" si="0"/>
        <v>90</v>
      </c>
      <c r="M8" s="22">
        <f t="shared" si="0"/>
        <v>80</v>
      </c>
    </row>
    <row r="9" spans="1:13" x14ac:dyDescent="0.35">
      <c r="A9" s="23" t="s">
        <v>52</v>
      </c>
      <c r="B9" s="24">
        <f>B8-B5</f>
        <v>0</v>
      </c>
      <c r="C9" s="24">
        <f t="shared" ref="C9:M9" si="1">C8-C5</f>
        <v>0</v>
      </c>
      <c r="D9" s="24">
        <f t="shared" si="1"/>
        <v>0</v>
      </c>
      <c r="E9" s="24">
        <f t="shared" si="1"/>
        <v>0</v>
      </c>
      <c r="F9" s="24">
        <f t="shared" si="1"/>
        <v>0</v>
      </c>
      <c r="G9" s="24">
        <f t="shared" si="1"/>
        <v>0</v>
      </c>
      <c r="H9" s="24">
        <f t="shared" si="1"/>
        <v>0</v>
      </c>
      <c r="I9" s="24">
        <f t="shared" si="1"/>
        <v>0</v>
      </c>
      <c r="J9" s="24">
        <f t="shared" si="1"/>
        <v>0</v>
      </c>
      <c r="K9" s="24">
        <f t="shared" si="1"/>
        <v>0</v>
      </c>
      <c r="L9" s="24">
        <f t="shared" si="1"/>
        <v>0</v>
      </c>
      <c r="M9" s="24">
        <f t="shared" si="1"/>
        <v>0</v>
      </c>
    </row>
    <row r="11" spans="1:13" x14ac:dyDescent="0.35">
      <c r="A11" s="6" t="s">
        <v>53</v>
      </c>
    </row>
    <row r="12" spans="1:13" x14ac:dyDescent="0.35">
      <c r="A12" t="s">
        <v>55</v>
      </c>
      <c r="B12" s="25">
        <f>B6*Assumptions!$C$16</f>
        <v>128</v>
      </c>
      <c r="C12" s="25">
        <f>C6*Assumptions!$C$16</f>
        <v>144</v>
      </c>
      <c r="D12" s="25">
        <f>D6*Assumptions!$C$16</f>
        <v>160</v>
      </c>
      <c r="E12" s="25">
        <f>E6*Assumptions!$C$16</f>
        <v>160</v>
      </c>
      <c r="F12" s="25">
        <f>F6*Assumptions!$C$16</f>
        <v>176.00000000000003</v>
      </c>
      <c r="G12" s="25">
        <f>G6*Assumptions!$C$16</f>
        <v>192</v>
      </c>
      <c r="H12" s="25">
        <f>H6*Assumptions!$C$16</f>
        <v>192</v>
      </c>
      <c r="I12" s="25">
        <f>I6*Assumptions!$C$16</f>
        <v>176.00000000000003</v>
      </c>
      <c r="J12" s="25">
        <f>J6*Assumptions!$C$16</f>
        <v>160</v>
      </c>
      <c r="K12" s="25">
        <f>K6*Assumptions!$C$16</f>
        <v>160</v>
      </c>
      <c r="L12" s="25">
        <f>L6*Assumptions!$C$16</f>
        <v>144</v>
      </c>
      <c r="M12" s="25">
        <f>M6*Assumptions!$C$16</f>
        <v>128</v>
      </c>
    </row>
    <row r="13" spans="1:13" x14ac:dyDescent="0.35">
      <c r="A13" t="s">
        <v>54</v>
      </c>
      <c r="B13" s="25">
        <f>B7*Assumptions!$C$17</f>
        <v>168</v>
      </c>
      <c r="C13" s="25">
        <f>C7*Assumptions!$C$17</f>
        <v>189</v>
      </c>
      <c r="D13" s="25">
        <f>D7*Assumptions!$C$17</f>
        <v>210</v>
      </c>
      <c r="E13" s="25">
        <f>E7*Assumptions!$C$17</f>
        <v>210</v>
      </c>
      <c r="F13" s="25">
        <f>F7*Assumptions!$C$17</f>
        <v>231</v>
      </c>
      <c r="G13" s="25">
        <f>G7*Assumptions!$C$17</f>
        <v>252</v>
      </c>
      <c r="H13" s="25">
        <f>H7*Assumptions!$C$17</f>
        <v>252</v>
      </c>
      <c r="I13" s="25">
        <f>I7*Assumptions!$C$17</f>
        <v>231</v>
      </c>
      <c r="J13" s="25">
        <f>J7*Assumptions!$C$17</f>
        <v>210</v>
      </c>
      <c r="K13" s="25">
        <f>K7*Assumptions!$C$17</f>
        <v>210</v>
      </c>
      <c r="L13" s="25">
        <f>L7*Assumptions!$C$17</f>
        <v>189</v>
      </c>
      <c r="M13" s="25">
        <f>M7*Assumptions!$C$17</f>
        <v>168</v>
      </c>
    </row>
    <row r="14" spans="1:13" x14ac:dyDescent="0.35">
      <c r="A14" s="19" t="s">
        <v>56</v>
      </c>
      <c r="B14" s="26">
        <f>SUM(B12:B13)</f>
        <v>296</v>
      </c>
      <c r="C14" s="26">
        <f t="shared" ref="C14:M14" si="2">SUM(C12:C13)</f>
        <v>333</v>
      </c>
      <c r="D14" s="26">
        <f t="shared" si="2"/>
        <v>370</v>
      </c>
      <c r="E14" s="26">
        <f t="shared" si="2"/>
        <v>370</v>
      </c>
      <c r="F14" s="26">
        <f t="shared" si="2"/>
        <v>407</v>
      </c>
      <c r="G14" s="26">
        <f t="shared" si="2"/>
        <v>444</v>
      </c>
      <c r="H14" s="26">
        <f t="shared" si="2"/>
        <v>444</v>
      </c>
      <c r="I14" s="26">
        <f t="shared" si="2"/>
        <v>407</v>
      </c>
      <c r="J14" s="26">
        <f t="shared" si="2"/>
        <v>370</v>
      </c>
      <c r="K14" s="26">
        <f t="shared" si="2"/>
        <v>370</v>
      </c>
      <c r="L14" s="26">
        <f t="shared" si="2"/>
        <v>333</v>
      </c>
      <c r="M14" s="26">
        <f t="shared" si="2"/>
        <v>296</v>
      </c>
    </row>
    <row r="15" spans="1:13" x14ac:dyDescent="0.35">
      <c r="A15" s="20" t="s">
        <v>57</v>
      </c>
      <c r="B15" s="27">
        <f>B14*Assumptions!B39</f>
        <v>6512</v>
      </c>
      <c r="C15" s="27">
        <f>C14*Assumptions!C39</f>
        <v>6660</v>
      </c>
      <c r="D15" s="27">
        <f>D14*Assumptions!D39</f>
        <v>8140</v>
      </c>
      <c r="E15" s="27">
        <f>E14*Assumptions!E39</f>
        <v>6660</v>
      </c>
      <c r="F15" s="27">
        <f>F14*Assumptions!F39</f>
        <v>9361</v>
      </c>
      <c r="G15" s="27">
        <f>G14*Assumptions!G39</f>
        <v>9324</v>
      </c>
      <c r="H15" s="27">
        <f>H14*Assumptions!H39</f>
        <v>9768</v>
      </c>
      <c r="I15" s="27">
        <f>I14*Assumptions!I39</f>
        <v>8954</v>
      </c>
      <c r="J15" s="27">
        <f>J14*Assumptions!J39</f>
        <v>7400</v>
      </c>
      <c r="K15" s="27">
        <f>K14*Assumptions!K39</f>
        <v>7400</v>
      </c>
      <c r="L15" s="27">
        <f>L14*Assumptions!L39</f>
        <v>7326</v>
      </c>
      <c r="M15" s="27">
        <f>M14*Assumptions!M39</f>
        <v>5624</v>
      </c>
    </row>
  </sheetData>
  <hyperlinks>
    <hyperlink ref="B1" location="'Zenith Cafe'!A1" display="Home" xr:uid="{2285C165-00FD-4991-B2D1-D7DDA053DA1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5498-CC59-4C6A-A622-171FC23C066B}">
  <dimension ref="A1:O23"/>
  <sheetViews>
    <sheetView topLeftCell="A16" workbookViewId="0">
      <selection activeCell="D22" sqref="D22"/>
    </sheetView>
  </sheetViews>
  <sheetFormatPr defaultRowHeight="14.5" x14ac:dyDescent="0.35"/>
  <cols>
    <col min="1" max="1" width="25.6328125" bestFit="1" customWidth="1"/>
    <col min="2" max="2" width="12.6328125" bestFit="1" customWidth="1"/>
    <col min="3" max="6" width="10.36328125" bestFit="1" customWidth="1"/>
    <col min="7" max="8" width="11.36328125" bestFit="1" customWidth="1"/>
    <col min="9" max="15" width="10.36328125" bestFit="1" customWidth="1"/>
  </cols>
  <sheetData>
    <row r="1" spans="1:13" ht="21" x14ac:dyDescent="0.5">
      <c r="A1" s="13" t="s">
        <v>58</v>
      </c>
      <c r="B1" s="36" t="s">
        <v>76</v>
      </c>
      <c r="C1" s="13"/>
    </row>
    <row r="3" spans="1:13" x14ac:dyDescent="0.35">
      <c r="A3" s="1"/>
      <c r="B3" s="18" t="s">
        <v>36</v>
      </c>
      <c r="C3" s="18" t="s">
        <v>37</v>
      </c>
      <c r="D3" s="18" t="s">
        <v>38</v>
      </c>
      <c r="E3" s="18" t="s">
        <v>39</v>
      </c>
      <c r="F3" s="18" t="s">
        <v>40</v>
      </c>
      <c r="G3" s="18" t="s">
        <v>41</v>
      </c>
      <c r="H3" s="18" t="s">
        <v>42</v>
      </c>
      <c r="I3" s="18" t="s">
        <v>43</v>
      </c>
      <c r="J3" s="18" t="s">
        <v>44</v>
      </c>
      <c r="K3" s="18" t="s">
        <v>45</v>
      </c>
      <c r="L3" s="18" t="s">
        <v>46</v>
      </c>
      <c r="M3" s="18" t="s">
        <v>47</v>
      </c>
    </row>
    <row r="4" spans="1:13" x14ac:dyDescent="0.35">
      <c r="A4" s="6" t="s">
        <v>59</v>
      </c>
    </row>
    <row r="5" spans="1:13" x14ac:dyDescent="0.35">
      <c r="A5" t="s">
        <v>60</v>
      </c>
      <c r="B5" s="5">
        <f>Assumptions!$B$25/12</f>
        <v>4166.666666666667</v>
      </c>
      <c r="C5" s="5">
        <f>Assumptions!$B$25/12</f>
        <v>4166.666666666667</v>
      </c>
      <c r="D5" s="5">
        <f>Assumptions!$B$25/12</f>
        <v>4166.666666666667</v>
      </c>
      <c r="E5" s="5">
        <f>Assumptions!$B$25/12</f>
        <v>4166.666666666667</v>
      </c>
      <c r="F5" s="5">
        <f>Assumptions!$B$25/12</f>
        <v>4166.666666666667</v>
      </c>
      <c r="G5" s="5">
        <f>Assumptions!$B$25/12</f>
        <v>4166.666666666667</v>
      </c>
      <c r="H5" s="5">
        <f>Assumptions!$B$25/12</f>
        <v>4166.666666666667</v>
      </c>
      <c r="I5" s="5">
        <f>Assumptions!$B$25/12</f>
        <v>4166.666666666667</v>
      </c>
      <c r="J5" s="5">
        <f>Assumptions!$B$25/12</f>
        <v>4166.666666666667</v>
      </c>
      <c r="K5" s="5">
        <f>Assumptions!$B$25/12</f>
        <v>4166.666666666667</v>
      </c>
      <c r="L5" s="5">
        <f>Assumptions!$B$25/12</f>
        <v>4166.666666666667</v>
      </c>
      <c r="M5" s="5">
        <f>Assumptions!$B$25/12</f>
        <v>4166.666666666667</v>
      </c>
    </row>
    <row r="6" spans="1:13" x14ac:dyDescent="0.35">
      <c r="A6" s="28" t="s">
        <v>26</v>
      </c>
      <c r="B6" s="25">
        <f>B5*Assumptions!$B$26</f>
        <v>1041.6666666666667</v>
      </c>
      <c r="C6" s="25">
        <f>C5*Assumptions!$B$26</f>
        <v>1041.6666666666667</v>
      </c>
      <c r="D6" s="25">
        <f>D5*Assumptions!$B$26</f>
        <v>1041.6666666666667</v>
      </c>
      <c r="E6" s="25">
        <f>E5*Assumptions!$B$26</f>
        <v>1041.6666666666667</v>
      </c>
      <c r="F6" s="25">
        <f>F5*Assumptions!$B$26</f>
        <v>1041.6666666666667</v>
      </c>
      <c r="G6" s="25">
        <f>G5*Assumptions!$B$26</f>
        <v>1041.6666666666667</v>
      </c>
      <c r="H6" s="25">
        <f>H5*Assumptions!$B$26</f>
        <v>1041.6666666666667</v>
      </c>
      <c r="I6" s="25">
        <f>I5*Assumptions!$B$26</f>
        <v>1041.6666666666667</v>
      </c>
      <c r="J6" s="25">
        <f>J5*Assumptions!$B$26</f>
        <v>1041.6666666666667</v>
      </c>
      <c r="K6" s="25">
        <f>K5*Assumptions!$B$26</f>
        <v>1041.6666666666667</v>
      </c>
      <c r="L6" s="25">
        <f>L5*Assumptions!$B$26</f>
        <v>1041.6666666666667</v>
      </c>
      <c r="M6" s="25">
        <f>M5*Assumptions!$B$26</f>
        <v>1041.6666666666667</v>
      </c>
    </row>
    <row r="7" spans="1:13" x14ac:dyDescent="0.35">
      <c r="A7" s="19" t="s">
        <v>61</v>
      </c>
      <c r="B7" s="30">
        <f>SUM(B5:B6)</f>
        <v>5208.3333333333339</v>
      </c>
      <c r="C7" s="30">
        <f t="shared" ref="C7:M7" si="0">SUM(C5:C6)</f>
        <v>5208.3333333333339</v>
      </c>
      <c r="D7" s="30">
        <f t="shared" si="0"/>
        <v>5208.3333333333339</v>
      </c>
      <c r="E7" s="30">
        <f t="shared" si="0"/>
        <v>5208.3333333333339</v>
      </c>
      <c r="F7" s="30">
        <f t="shared" si="0"/>
        <v>5208.3333333333339</v>
      </c>
      <c r="G7" s="30">
        <f t="shared" si="0"/>
        <v>5208.3333333333339</v>
      </c>
      <c r="H7" s="30">
        <f t="shared" si="0"/>
        <v>5208.3333333333339</v>
      </c>
      <c r="I7" s="30">
        <f t="shared" si="0"/>
        <v>5208.3333333333339</v>
      </c>
      <c r="J7" s="30">
        <f t="shared" si="0"/>
        <v>5208.3333333333339</v>
      </c>
      <c r="K7" s="30">
        <f t="shared" si="0"/>
        <v>5208.3333333333339</v>
      </c>
      <c r="L7" s="30">
        <f t="shared" si="0"/>
        <v>5208.3333333333339</v>
      </c>
      <c r="M7" s="30">
        <f t="shared" si="0"/>
        <v>5208.3333333333339</v>
      </c>
    </row>
    <row r="9" spans="1:13" x14ac:dyDescent="0.35">
      <c r="A9" s="6" t="s">
        <v>64</v>
      </c>
    </row>
    <row r="10" spans="1:13" x14ac:dyDescent="0.35">
      <c r="A10" t="s">
        <v>11</v>
      </c>
      <c r="B10" s="25">
        <f>Assumptions!$B$28</f>
        <v>1200</v>
      </c>
      <c r="C10" s="25">
        <f>Assumptions!$B$28</f>
        <v>1200</v>
      </c>
      <c r="D10" s="25">
        <f>Assumptions!$B$28</f>
        <v>1200</v>
      </c>
      <c r="E10" s="25">
        <f>Assumptions!$B$28</f>
        <v>1200</v>
      </c>
      <c r="F10" s="25">
        <f>Assumptions!$B$28</f>
        <v>1200</v>
      </c>
      <c r="G10" s="25">
        <f>Assumptions!$B$28</f>
        <v>1200</v>
      </c>
      <c r="H10" s="25">
        <f>Assumptions!$B$28</f>
        <v>1200</v>
      </c>
      <c r="I10" s="25">
        <f>Assumptions!$B$28</f>
        <v>1200</v>
      </c>
      <c r="J10" s="25">
        <f>Assumptions!$B$28</f>
        <v>1200</v>
      </c>
      <c r="K10" s="25">
        <f>Assumptions!$B$28</f>
        <v>1200</v>
      </c>
      <c r="L10" s="25">
        <f>Assumptions!$B$28</f>
        <v>1200</v>
      </c>
      <c r="M10" s="25">
        <f>Assumptions!$B$28</f>
        <v>1200</v>
      </c>
    </row>
    <row r="11" spans="1:13" x14ac:dyDescent="0.35">
      <c r="A11" t="s">
        <v>62</v>
      </c>
      <c r="B11" s="25">
        <f>Assumptions!$B$29</f>
        <v>100</v>
      </c>
      <c r="C11" s="25">
        <f>Assumptions!$B$29</f>
        <v>100</v>
      </c>
      <c r="D11" s="25">
        <f>Assumptions!$B$29</f>
        <v>100</v>
      </c>
      <c r="E11" s="25">
        <f>Assumptions!$B$29</f>
        <v>100</v>
      </c>
      <c r="F11" s="25">
        <f>Assumptions!$B$29</f>
        <v>100</v>
      </c>
      <c r="G11" s="25">
        <f>Assumptions!$B$29</f>
        <v>100</v>
      </c>
      <c r="H11" s="25">
        <f>Assumptions!$B$29</f>
        <v>100</v>
      </c>
      <c r="I11" s="25">
        <f>Assumptions!$B$29</f>
        <v>100</v>
      </c>
      <c r="J11" s="25">
        <f>Assumptions!$B$29</f>
        <v>100</v>
      </c>
      <c r="K11" s="25">
        <f>Assumptions!$B$29</f>
        <v>100</v>
      </c>
      <c r="L11" s="25">
        <f>Assumptions!$B$29</f>
        <v>100</v>
      </c>
      <c r="M11" s="25">
        <f>Assumptions!$B$29</f>
        <v>100</v>
      </c>
    </row>
    <row r="12" spans="1:13" x14ac:dyDescent="0.35">
      <c r="A12" t="s">
        <v>63</v>
      </c>
      <c r="B12" s="25">
        <f>Revenue!B5*Assumptions!B39*Assumptions!$B$22</f>
        <v>792</v>
      </c>
      <c r="C12" s="25">
        <f>Revenue!C5*Assumptions!C39*Assumptions!$B$22</f>
        <v>810</v>
      </c>
      <c r="D12" s="25">
        <f>Revenue!D5*Assumptions!D39*Assumptions!$B$22</f>
        <v>990</v>
      </c>
      <c r="E12" s="25">
        <f>Revenue!E5*Assumptions!E39*Assumptions!$B$22</f>
        <v>810</v>
      </c>
      <c r="F12" s="25">
        <f>Revenue!F5*Assumptions!F39*Assumptions!$B$22</f>
        <v>1138.5000000000002</v>
      </c>
      <c r="G12" s="25">
        <f>Revenue!G5*Assumptions!G39*Assumptions!$B$22</f>
        <v>1134</v>
      </c>
      <c r="H12" s="25">
        <f>Revenue!H5*Assumptions!H39*Assumptions!$B$22</f>
        <v>1188</v>
      </c>
      <c r="I12" s="25">
        <f>Revenue!I5*Assumptions!I39*Assumptions!$B$22</f>
        <v>1089.0000000000002</v>
      </c>
      <c r="J12" s="25">
        <f>Revenue!J5*Assumptions!J39*Assumptions!$B$22</f>
        <v>900</v>
      </c>
      <c r="K12" s="25">
        <f>Revenue!K5*Assumptions!K39*Assumptions!$B$22</f>
        <v>900</v>
      </c>
      <c r="L12" s="25">
        <f>Revenue!L5*Assumptions!L39*Assumptions!$B$22</f>
        <v>891</v>
      </c>
      <c r="M12" s="25">
        <f>Revenue!M5*Assumptions!M39*Assumptions!$B$22</f>
        <v>684</v>
      </c>
    </row>
    <row r="13" spans="1:13" x14ac:dyDescent="0.35">
      <c r="A13" s="19" t="s">
        <v>66</v>
      </c>
      <c r="B13" s="26">
        <f>SUM(B10:B12)</f>
        <v>2092</v>
      </c>
      <c r="C13" s="26">
        <f t="shared" ref="C13:M13" si="1">SUM(C10:C12)</f>
        <v>2110</v>
      </c>
      <c r="D13" s="26">
        <f t="shared" si="1"/>
        <v>2290</v>
      </c>
      <c r="E13" s="26">
        <f t="shared" si="1"/>
        <v>2110</v>
      </c>
      <c r="F13" s="26">
        <f t="shared" si="1"/>
        <v>2438.5</v>
      </c>
      <c r="G13" s="26">
        <f t="shared" si="1"/>
        <v>2434</v>
      </c>
      <c r="H13" s="26">
        <f t="shared" si="1"/>
        <v>2488</v>
      </c>
      <c r="I13" s="26">
        <f t="shared" si="1"/>
        <v>2389</v>
      </c>
      <c r="J13" s="26">
        <f t="shared" si="1"/>
        <v>2200</v>
      </c>
      <c r="K13" s="26">
        <f t="shared" si="1"/>
        <v>2200</v>
      </c>
      <c r="L13" s="26">
        <f t="shared" si="1"/>
        <v>2191</v>
      </c>
      <c r="M13" s="26">
        <f t="shared" si="1"/>
        <v>1984</v>
      </c>
    </row>
    <row r="14" spans="1:13" s="9" customFormat="1" x14ac:dyDescent="0.35"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</row>
    <row r="15" spans="1:13" x14ac:dyDescent="0.35">
      <c r="A15" s="20" t="s">
        <v>65</v>
      </c>
      <c r="B15" s="27">
        <f>SUM(B7,B13)</f>
        <v>7300.3333333333339</v>
      </c>
      <c r="C15" s="27">
        <f t="shared" ref="C15:M15" si="2">SUM(C7,C13)</f>
        <v>7318.3333333333339</v>
      </c>
      <c r="D15" s="27">
        <f t="shared" si="2"/>
        <v>7498.3333333333339</v>
      </c>
      <c r="E15" s="27">
        <f t="shared" si="2"/>
        <v>7318.3333333333339</v>
      </c>
      <c r="F15" s="27">
        <f t="shared" si="2"/>
        <v>7646.8333333333339</v>
      </c>
      <c r="G15" s="27">
        <f t="shared" si="2"/>
        <v>7642.3333333333339</v>
      </c>
      <c r="H15" s="27">
        <f t="shared" si="2"/>
        <v>7696.3333333333339</v>
      </c>
      <c r="I15" s="27">
        <f t="shared" si="2"/>
        <v>7597.3333333333339</v>
      </c>
      <c r="J15" s="27">
        <f t="shared" si="2"/>
        <v>7408.3333333333339</v>
      </c>
      <c r="K15" s="27">
        <f t="shared" si="2"/>
        <v>7408.3333333333339</v>
      </c>
      <c r="L15" s="27">
        <f t="shared" si="2"/>
        <v>7399.3333333333339</v>
      </c>
      <c r="M15" s="27">
        <f t="shared" si="2"/>
        <v>7192.3333333333339</v>
      </c>
    </row>
    <row r="18" spans="1:15" ht="21" x14ac:dyDescent="0.5">
      <c r="A18" s="57" t="s">
        <v>67</v>
      </c>
      <c r="B18" s="57"/>
      <c r="C18" s="57"/>
      <c r="D18" s="57"/>
      <c r="E18" s="57"/>
      <c r="F18" s="57"/>
    </row>
    <row r="20" spans="1:15" x14ac:dyDescent="0.35">
      <c r="A20" s="18" t="s">
        <v>68</v>
      </c>
      <c r="B20" s="18" t="s">
        <v>71</v>
      </c>
      <c r="C20" s="18" t="s">
        <v>72</v>
      </c>
      <c r="D20" s="18" t="s">
        <v>36</v>
      </c>
      <c r="E20" s="18" t="s">
        <v>37</v>
      </c>
      <c r="F20" s="18" t="s">
        <v>38</v>
      </c>
      <c r="G20" s="18" t="s">
        <v>39</v>
      </c>
      <c r="H20" s="18" t="s">
        <v>40</v>
      </c>
      <c r="I20" s="18" t="s">
        <v>41</v>
      </c>
      <c r="J20" s="18" t="s">
        <v>42</v>
      </c>
      <c r="K20" s="18" t="s">
        <v>43</v>
      </c>
      <c r="L20" s="18" t="s">
        <v>44</v>
      </c>
      <c r="M20" s="18" t="s">
        <v>45</v>
      </c>
      <c r="N20" s="18" t="s">
        <v>46</v>
      </c>
      <c r="O20" s="18" t="s">
        <v>47</v>
      </c>
    </row>
    <row r="21" spans="1:15" x14ac:dyDescent="0.35">
      <c r="A21" t="s">
        <v>6</v>
      </c>
      <c r="B21" s="5">
        <f>'Balance Sheet'!F11</f>
        <v>10000</v>
      </c>
      <c r="C21" s="32">
        <v>3</v>
      </c>
      <c r="D21" s="5">
        <f>$B$21/$C$21/12</f>
        <v>277.77777777777777</v>
      </c>
      <c r="E21" s="5">
        <f t="shared" ref="E21:O21" si="3">$B$21/$C$21/12</f>
        <v>277.77777777777777</v>
      </c>
      <c r="F21" s="5">
        <f t="shared" si="3"/>
        <v>277.77777777777777</v>
      </c>
      <c r="G21" s="5">
        <f t="shared" si="3"/>
        <v>277.77777777777777</v>
      </c>
      <c r="H21" s="5">
        <f t="shared" si="3"/>
        <v>277.77777777777777</v>
      </c>
      <c r="I21" s="5">
        <f t="shared" si="3"/>
        <v>277.77777777777777</v>
      </c>
      <c r="J21" s="5">
        <f t="shared" si="3"/>
        <v>277.77777777777777</v>
      </c>
      <c r="K21" s="5">
        <f t="shared" si="3"/>
        <v>277.77777777777777</v>
      </c>
      <c r="L21" s="5">
        <f t="shared" si="3"/>
        <v>277.77777777777777</v>
      </c>
      <c r="M21" s="5">
        <f t="shared" si="3"/>
        <v>277.77777777777777</v>
      </c>
      <c r="N21" s="5">
        <f t="shared" si="3"/>
        <v>277.77777777777777</v>
      </c>
      <c r="O21" s="5">
        <f t="shared" si="3"/>
        <v>277.77777777777777</v>
      </c>
    </row>
    <row r="22" spans="1:15" x14ac:dyDescent="0.35">
      <c r="A22" t="s">
        <v>69</v>
      </c>
      <c r="B22" s="5">
        <f>'Balance Sheet'!F12</f>
        <v>35000</v>
      </c>
      <c r="C22" s="32">
        <v>10</v>
      </c>
      <c r="D22" s="5">
        <f>$B$22/10/12</f>
        <v>291.66666666666669</v>
      </c>
      <c r="E22" s="5">
        <f t="shared" ref="E22:O22" si="4">$B$22/10/12</f>
        <v>291.66666666666669</v>
      </c>
      <c r="F22" s="5">
        <f t="shared" si="4"/>
        <v>291.66666666666669</v>
      </c>
      <c r="G22" s="5">
        <f t="shared" si="4"/>
        <v>291.66666666666669</v>
      </c>
      <c r="H22" s="5">
        <f t="shared" si="4"/>
        <v>291.66666666666669</v>
      </c>
      <c r="I22" s="5">
        <f t="shared" si="4"/>
        <v>291.66666666666669</v>
      </c>
      <c r="J22" s="5">
        <f t="shared" si="4"/>
        <v>291.66666666666669</v>
      </c>
      <c r="K22" s="5">
        <f t="shared" si="4"/>
        <v>291.66666666666669</v>
      </c>
      <c r="L22" s="5">
        <f t="shared" si="4"/>
        <v>291.66666666666669</v>
      </c>
      <c r="M22" s="5">
        <f t="shared" si="4"/>
        <v>291.66666666666669</v>
      </c>
      <c r="N22" s="5">
        <f t="shared" si="4"/>
        <v>291.66666666666669</v>
      </c>
      <c r="O22" s="5">
        <f t="shared" si="4"/>
        <v>291.66666666666669</v>
      </c>
    </row>
    <row r="23" spans="1:15" x14ac:dyDescent="0.35">
      <c r="A23" s="20" t="s">
        <v>70</v>
      </c>
      <c r="B23" s="27"/>
      <c r="C23" s="27"/>
      <c r="D23" s="27">
        <f>SUM(D21,D22)</f>
        <v>569.44444444444446</v>
      </c>
      <c r="E23" s="27">
        <f t="shared" ref="E23:O23" si="5">SUM(E21,E22)</f>
        <v>569.44444444444446</v>
      </c>
      <c r="F23" s="27">
        <f t="shared" si="5"/>
        <v>569.44444444444446</v>
      </c>
      <c r="G23" s="27">
        <f t="shared" si="5"/>
        <v>569.44444444444446</v>
      </c>
      <c r="H23" s="27">
        <f t="shared" si="5"/>
        <v>569.44444444444446</v>
      </c>
      <c r="I23" s="27">
        <f t="shared" si="5"/>
        <v>569.44444444444446</v>
      </c>
      <c r="J23" s="27">
        <f t="shared" si="5"/>
        <v>569.44444444444446</v>
      </c>
      <c r="K23" s="27">
        <f t="shared" si="5"/>
        <v>569.44444444444446</v>
      </c>
      <c r="L23" s="27">
        <f t="shared" si="5"/>
        <v>569.44444444444446</v>
      </c>
      <c r="M23" s="27">
        <f t="shared" si="5"/>
        <v>569.44444444444446</v>
      </c>
      <c r="N23" s="27">
        <f t="shared" si="5"/>
        <v>569.44444444444446</v>
      </c>
      <c r="O23" s="27">
        <f t="shared" si="5"/>
        <v>569.44444444444446</v>
      </c>
    </row>
  </sheetData>
  <mergeCells count="1">
    <mergeCell ref="A18:F18"/>
  </mergeCells>
  <hyperlinks>
    <hyperlink ref="B1" location="'Zenith Cafe'!A1" display="Home Page" xr:uid="{EAC4A8A8-7BBF-4D24-B3F1-C2D579A0201B}"/>
  </hyperlink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zoomScale="87" zoomScaleNormal="87" workbookViewId="0">
      <selection activeCell="I31" sqref="I31"/>
    </sheetView>
  </sheetViews>
  <sheetFormatPr defaultRowHeight="14.5" x14ac:dyDescent="0.35"/>
  <cols>
    <col min="1" max="1" width="29.453125" bestFit="1" customWidth="1"/>
    <col min="2" max="2" width="11.81640625" bestFit="1" customWidth="1"/>
    <col min="3" max="3" width="12.36328125" bestFit="1" customWidth="1"/>
    <col min="5" max="5" width="21.6328125" bestFit="1" customWidth="1"/>
    <col min="6" max="6" width="11.90625" bestFit="1" customWidth="1"/>
  </cols>
  <sheetData>
    <row r="1" spans="1:6" ht="21" x14ac:dyDescent="0.5">
      <c r="A1" s="13" t="s">
        <v>90</v>
      </c>
      <c r="B1" s="38" t="s">
        <v>76</v>
      </c>
      <c r="C1" s="38"/>
      <c r="D1" s="38"/>
    </row>
    <row r="2" spans="1:6" x14ac:dyDescent="0.35">
      <c r="A2" s="46" t="s">
        <v>108</v>
      </c>
      <c r="B2" s="47" t="s">
        <v>109</v>
      </c>
      <c r="C2" s="47" t="s">
        <v>110</v>
      </c>
      <c r="E2" s="2" t="s">
        <v>0</v>
      </c>
      <c r="F2" s="2"/>
    </row>
    <row r="3" spans="1:6" ht="18.5" x14ac:dyDescent="0.45">
      <c r="A3" s="48" t="s">
        <v>111</v>
      </c>
      <c r="E3" t="s">
        <v>1</v>
      </c>
      <c r="F3" s="4">
        <v>30000</v>
      </c>
    </row>
    <row r="4" spans="1:6" x14ac:dyDescent="0.35">
      <c r="A4" s="49" t="s">
        <v>112</v>
      </c>
      <c r="E4" t="s">
        <v>2</v>
      </c>
      <c r="F4" s="4">
        <v>25000</v>
      </c>
    </row>
    <row r="5" spans="1:6" x14ac:dyDescent="0.35">
      <c r="A5" t="s">
        <v>113</v>
      </c>
      <c r="B5" s="5">
        <f>'Cash Flow'!C4</f>
        <v>5000</v>
      </c>
      <c r="C5" s="5">
        <f>'Cash Flow'!N20</f>
        <v>8171.7499999999991</v>
      </c>
      <c r="E5" s="6" t="s">
        <v>8</v>
      </c>
      <c r="F5" s="7">
        <f>SUM(F3:F4)</f>
        <v>55000</v>
      </c>
    </row>
    <row r="6" spans="1:6" x14ac:dyDescent="0.35">
      <c r="A6" t="s">
        <v>114</v>
      </c>
      <c r="B6" s="5">
        <f>'Balance Sheet'!F10</f>
        <v>5000</v>
      </c>
      <c r="C6" s="5">
        <f>B6-SUM('Cash Flow'!C8:N8)</f>
        <v>5000</v>
      </c>
    </row>
    <row r="7" spans="1:6" x14ac:dyDescent="0.35">
      <c r="A7" t="s">
        <v>115</v>
      </c>
    </row>
    <row r="8" spans="1:6" x14ac:dyDescent="0.35">
      <c r="A8" s="20" t="s">
        <v>116</v>
      </c>
      <c r="B8" s="27">
        <f>SUM(B5:B7)</f>
        <v>10000</v>
      </c>
      <c r="C8" s="27">
        <f>SUM(C5:C7)</f>
        <v>13171.75</v>
      </c>
      <c r="E8" s="2" t="s">
        <v>3</v>
      </c>
      <c r="F8" s="2"/>
    </row>
    <row r="9" spans="1:6" x14ac:dyDescent="0.35">
      <c r="E9" t="s">
        <v>4</v>
      </c>
      <c r="F9" s="4">
        <v>5000</v>
      </c>
    </row>
    <row r="10" spans="1:6" x14ac:dyDescent="0.35">
      <c r="A10" s="49" t="s">
        <v>117</v>
      </c>
      <c r="E10" t="s">
        <v>5</v>
      </c>
      <c r="F10" s="4">
        <v>5000</v>
      </c>
    </row>
    <row r="11" spans="1:6" x14ac:dyDescent="0.35">
      <c r="A11" t="s">
        <v>118</v>
      </c>
      <c r="B11" s="5">
        <f>SUM(F11,F12)</f>
        <v>45000</v>
      </c>
      <c r="C11" s="5">
        <f>B11-SUM('Cash Flow'!C13:N13)</f>
        <v>45000</v>
      </c>
      <c r="E11" t="s">
        <v>6</v>
      </c>
      <c r="F11" s="4">
        <v>10000</v>
      </c>
    </row>
    <row r="12" spans="1:6" x14ac:dyDescent="0.35">
      <c r="A12" t="s">
        <v>119</v>
      </c>
      <c r="C12" s="5">
        <f>-'Income St'!O13</f>
        <v>-6833.333333333333</v>
      </c>
      <c r="E12" t="s">
        <v>7</v>
      </c>
      <c r="F12" s="4">
        <v>35000</v>
      </c>
    </row>
    <row r="13" spans="1:6" x14ac:dyDescent="0.35">
      <c r="A13" s="20" t="s">
        <v>116</v>
      </c>
      <c r="B13" s="27">
        <f>SUM(B11:B12)</f>
        <v>45000</v>
      </c>
      <c r="C13" s="27">
        <f>SUM(C11:C12)</f>
        <v>38166.666666666664</v>
      </c>
      <c r="E13" s="6" t="s">
        <v>9</v>
      </c>
      <c r="F13" s="7">
        <f>SUM(F9:F12)</f>
        <v>55000</v>
      </c>
    </row>
    <row r="15" spans="1:6" x14ac:dyDescent="0.35">
      <c r="A15" s="50" t="s">
        <v>120</v>
      </c>
      <c r="B15" s="51">
        <f>SUM(B13,B8)</f>
        <v>55000</v>
      </c>
      <c r="C15" s="51">
        <f>SUM(C13,C8)</f>
        <v>51338.416666666664</v>
      </c>
    </row>
    <row r="17" spans="1:3" ht="18.5" x14ac:dyDescent="0.45">
      <c r="A17" s="48" t="s">
        <v>121</v>
      </c>
    </row>
    <row r="18" spans="1:3" x14ac:dyDescent="0.35">
      <c r="A18" s="49" t="s">
        <v>122</v>
      </c>
    </row>
    <row r="19" spans="1:3" x14ac:dyDescent="0.35">
      <c r="A19" t="s">
        <v>123</v>
      </c>
    </row>
    <row r="20" spans="1:3" x14ac:dyDescent="0.35">
      <c r="A20" s="20" t="s">
        <v>124</v>
      </c>
      <c r="B20" s="27"/>
      <c r="C20" s="27"/>
    </row>
    <row r="22" spans="1:3" x14ac:dyDescent="0.35">
      <c r="A22" s="49" t="s">
        <v>125</v>
      </c>
    </row>
    <row r="23" spans="1:3" x14ac:dyDescent="0.35">
      <c r="A23" t="s">
        <v>126</v>
      </c>
      <c r="B23" s="5">
        <f>F3</f>
        <v>30000</v>
      </c>
      <c r="C23" s="5">
        <f>F3</f>
        <v>30000</v>
      </c>
    </row>
    <row r="24" spans="1:3" x14ac:dyDescent="0.35">
      <c r="A24" s="20" t="s">
        <v>124</v>
      </c>
      <c r="B24" s="27">
        <f>SUM(B23)</f>
        <v>30000</v>
      </c>
      <c r="C24" s="27">
        <f>SUM(C23)</f>
        <v>30000</v>
      </c>
    </row>
    <row r="26" spans="1:3" ht="18.5" x14ac:dyDescent="0.45">
      <c r="A26" s="48" t="s">
        <v>127</v>
      </c>
    </row>
    <row r="27" spans="1:3" x14ac:dyDescent="0.35">
      <c r="A27" t="s">
        <v>128</v>
      </c>
      <c r="B27" s="5">
        <f>F4</f>
        <v>25000</v>
      </c>
      <c r="C27" s="5">
        <f>F4</f>
        <v>25000</v>
      </c>
    </row>
    <row r="28" spans="1:3" x14ac:dyDescent="0.35">
      <c r="A28" t="s">
        <v>129</v>
      </c>
      <c r="C28" s="5">
        <f>'Income St'!O20</f>
        <v>-3661.583333333338</v>
      </c>
    </row>
    <row r="29" spans="1:3" x14ac:dyDescent="0.35">
      <c r="A29" s="20" t="s">
        <v>130</v>
      </c>
      <c r="B29" s="27">
        <f>SUM(B27:B28)</f>
        <v>25000</v>
      </c>
      <c r="C29" s="27">
        <f>SUM(C27:C28)</f>
        <v>21338.416666666661</v>
      </c>
    </row>
    <row r="31" spans="1:3" x14ac:dyDescent="0.35">
      <c r="A31" s="50" t="s">
        <v>131</v>
      </c>
      <c r="B31" s="51">
        <f>SUM(B29,B24)</f>
        <v>55000</v>
      </c>
      <c r="C31" s="51">
        <f>SUM(C29,C24)</f>
        <v>51338.416666666657</v>
      </c>
    </row>
    <row r="32" spans="1:3" x14ac:dyDescent="0.35">
      <c r="A32" s="52" t="s">
        <v>52</v>
      </c>
      <c r="B32" s="24">
        <f>B31-B15</f>
        <v>0</v>
      </c>
      <c r="C32" s="24">
        <f>C31-C15</f>
        <v>0</v>
      </c>
    </row>
  </sheetData>
  <hyperlinks>
    <hyperlink ref="B1" location="'Zenith Cafe'!A1" display="Home" xr:uid="{E12FA7F9-7FDC-463D-AE55-AAB23AB763D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8C67B-251F-4770-9ABA-36EA9FB3E056}">
  <dimension ref="A1:N20"/>
  <sheetViews>
    <sheetView workbookViewId="0">
      <selection activeCell="F15" sqref="F15"/>
    </sheetView>
  </sheetViews>
  <sheetFormatPr defaultRowHeight="14.5" x14ac:dyDescent="0.35"/>
  <cols>
    <col min="1" max="1" width="30.26953125" bestFit="1" customWidth="1"/>
    <col min="2" max="2" width="11.36328125" bestFit="1" customWidth="1"/>
    <col min="3" max="5" width="10.36328125" bestFit="1" customWidth="1"/>
    <col min="6" max="14" width="11.36328125" bestFit="1" customWidth="1"/>
  </cols>
  <sheetData>
    <row r="1" spans="1:14" ht="21" x14ac:dyDescent="0.5">
      <c r="A1" s="13" t="s">
        <v>93</v>
      </c>
      <c r="B1" s="36" t="s">
        <v>76</v>
      </c>
    </row>
    <row r="2" spans="1:14" ht="18.5" x14ac:dyDescent="0.45">
      <c r="A2" s="54" t="str">
        <f>'Income St'!$B$1</f>
        <v>Worst</v>
      </c>
    </row>
    <row r="3" spans="1:14" x14ac:dyDescent="0.35">
      <c r="A3" s="1"/>
      <c r="B3" s="2" t="s">
        <v>94</v>
      </c>
      <c r="C3" s="18" t="s">
        <v>36</v>
      </c>
      <c r="D3" s="18" t="s">
        <v>37</v>
      </c>
      <c r="E3" s="18" t="s">
        <v>38</v>
      </c>
      <c r="F3" s="18" t="s">
        <v>39</v>
      </c>
      <c r="G3" s="18" t="s">
        <v>40</v>
      </c>
      <c r="H3" s="18" t="s">
        <v>41</v>
      </c>
      <c r="I3" s="18" t="s">
        <v>42</v>
      </c>
      <c r="J3" s="18" t="s">
        <v>43</v>
      </c>
      <c r="K3" s="18" t="s">
        <v>44</v>
      </c>
      <c r="L3" s="18" t="s">
        <v>45</v>
      </c>
      <c r="M3" s="18" t="s">
        <v>46</v>
      </c>
      <c r="N3" s="18" t="s">
        <v>47</v>
      </c>
    </row>
    <row r="4" spans="1:14" x14ac:dyDescent="0.35">
      <c r="A4" t="s">
        <v>95</v>
      </c>
      <c r="C4" s="5">
        <f>B20</f>
        <v>5000</v>
      </c>
      <c r="D4" s="5">
        <f t="shared" ref="D4:N4" si="0">C20</f>
        <v>4496.5</v>
      </c>
      <c r="E4" s="5">
        <f t="shared" si="0"/>
        <v>4083.9999999999995</v>
      </c>
      <c r="F4" s="5">
        <f t="shared" si="0"/>
        <v>4581.4999999999991</v>
      </c>
      <c r="G4" s="5">
        <f t="shared" si="0"/>
        <v>4168.9999999999991</v>
      </c>
      <c r="H4" s="5">
        <f t="shared" si="0"/>
        <v>5417.2499999999991</v>
      </c>
      <c r="I4" s="5">
        <f t="shared" si="0"/>
        <v>6642.7499999999991</v>
      </c>
      <c r="J4" s="5">
        <f t="shared" si="0"/>
        <v>8141.2499999999991</v>
      </c>
      <c r="K4" s="5">
        <f t="shared" si="0"/>
        <v>9139.25</v>
      </c>
      <c r="L4" s="5">
        <f t="shared" si="0"/>
        <v>9181.75</v>
      </c>
      <c r="M4" s="5">
        <f t="shared" si="0"/>
        <v>9224.25</v>
      </c>
      <c r="N4" s="5">
        <f t="shared" si="0"/>
        <v>9221.25</v>
      </c>
    </row>
    <row r="5" spans="1:14" x14ac:dyDescent="0.35">
      <c r="A5" t="s">
        <v>96</v>
      </c>
    </row>
    <row r="6" spans="1:14" x14ac:dyDescent="0.35">
      <c r="A6" t="s">
        <v>89</v>
      </c>
      <c r="C6" s="5">
        <f>'Income St'!C20</f>
        <v>-1072.9444444444448</v>
      </c>
      <c r="D6" s="5">
        <f>'Income St'!D20</f>
        <v>-981.9444444444448</v>
      </c>
      <c r="E6" s="5">
        <f>'Income St'!E20</f>
        <v>-71.944444444444883</v>
      </c>
      <c r="F6" s="5">
        <f>'Income St'!F20</f>
        <v>-981.9444444444448</v>
      </c>
      <c r="G6" s="5">
        <f>'Income St'!G20</f>
        <v>678.8055555555552</v>
      </c>
      <c r="H6" s="5">
        <f>'Income St'!H20</f>
        <v>656.0555555555552</v>
      </c>
      <c r="I6" s="5">
        <f>'Income St'!I20</f>
        <v>929.0555555555552</v>
      </c>
      <c r="J6" s="5">
        <f>'Income St'!J20</f>
        <v>428.55555555555509</v>
      </c>
      <c r="K6" s="5">
        <f>'Income St'!K20</f>
        <v>-526.94444444444491</v>
      </c>
      <c r="L6" s="5">
        <f>'Income St'!L20</f>
        <v>-526.94444444444491</v>
      </c>
      <c r="M6" s="5">
        <f>'Income St'!M20</f>
        <v>-572.44444444444491</v>
      </c>
      <c r="N6" s="5">
        <f>'Income St'!N20</f>
        <v>-1618.9444444444448</v>
      </c>
    </row>
    <row r="7" spans="1:14" x14ac:dyDescent="0.35">
      <c r="A7" s="45" t="s">
        <v>107</v>
      </c>
      <c r="C7" s="5">
        <f>Expenses!D23</f>
        <v>569.44444444444446</v>
      </c>
      <c r="D7" s="5">
        <f>Expenses!E23</f>
        <v>569.44444444444446</v>
      </c>
      <c r="E7" s="5">
        <f>Expenses!F23</f>
        <v>569.44444444444446</v>
      </c>
      <c r="F7" s="5">
        <f>Expenses!G23</f>
        <v>569.44444444444446</v>
      </c>
      <c r="G7" s="5">
        <f>Expenses!H23</f>
        <v>569.44444444444446</v>
      </c>
      <c r="H7" s="5">
        <f>Expenses!I23</f>
        <v>569.44444444444446</v>
      </c>
      <c r="I7" s="5">
        <f>Expenses!J23</f>
        <v>569.44444444444446</v>
      </c>
      <c r="J7" s="5">
        <f>Expenses!K23</f>
        <v>569.44444444444446</v>
      </c>
      <c r="K7" s="5">
        <f>Expenses!L23</f>
        <v>569.44444444444446</v>
      </c>
      <c r="L7" s="5">
        <f>Expenses!M23</f>
        <v>569.44444444444446</v>
      </c>
      <c r="M7" s="5">
        <f>Expenses!N23</f>
        <v>569.44444444444446</v>
      </c>
      <c r="N7" s="5">
        <f>Expenses!O23</f>
        <v>569.44444444444446</v>
      </c>
    </row>
    <row r="8" spans="1:14" x14ac:dyDescent="0.35">
      <c r="A8" s="45" t="s">
        <v>97</v>
      </c>
      <c r="B8" s="5">
        <f>-'Balance Sheet'!F10</f>
        <v>-5000</v>
      </c>
    </row>
    <row r="9" spans="1:14" x14ac:dyDescent="0.35">
      <c r="A9" s="45" t="s">
        <v>98</v>
      </c>
    </row>
    <row r="10" spans="1:14" x14ac:dyDescent="0.35">
      <c r="A10" s="45" t="s">
        <v>99</v>
      </c>
    </row>
    <row r="12" spans="1:14" x14ac:dyDescent="0.35">
      <c r="A12" s="6" t="s">
        <v>100</v>
      </c>
    </row>
    <row r="13" spans="1:14" x14ac:dyDescent="0.35">
      <c r="A13" t="s">
        <v>101</v>
      </c>
      <c r="B13" s="5">
        <f>-'Balance Sheet'!F11-'Balance Sheet'!F12</f>
        <v>-45000</v>
      </c>
    </row>
    <row r="15" spans="1:14" x14ac:dyDescent="0.35">
      <c r="A15" s="6" t="s">
        <v>102</v>
      </c>
    </row>
    <row r="16" spans="1:14" x14ac:dyDescent="0.35">
      <c r="A16" t="s">
        <v>103</v>
      </c>
      <c r="B16" s="5">
        <f>'Balance Sheet'!F3</f>
        <v>30000</v>
      </c>
    </row>
    <row r="17" spans="1:14" x14ac:dyDescent="0.35">
      <c r="A17" t="s">
        <v>104</v>
      </c>
      <c r="B17" s="5">
        <f>'Balance Sheet'!F4</f>
        <v>25000</v>
      </c>
    </row>
    <row r="18" spans="1:14" x14ac:dyDescent="0.35">
      <c r="A18" t="s">
        <v>105</v>
      </c>
    </row>
    <row r="20" spans="1:14" x14ac:dyDescent="0.35">
      <c r="A20" s="19" t="s">
        <v>106</v>
      </c>
      <c r="B20" s="26">
        <f>SUM(B4:B19)</f>
        <v>5000</v>
      </c>
      <c r="C20" s="26">
        <f t="shared" ref="C20:N20" si="1">SUM(C4:C19)</f>
        <v>4496.5</v>
      </c>
      <c r="D20" s="26">
        <f t="shared" si="1"/>
        <v>4083.9999999999995</v>
      </c>
      <c r="E20" s="26">
        <f t="shared" si="1"/>
        <v>4581.4999999999991</v>
      </c>
      <c r="F20" s="26">
        <f t="shared" si="1"/>
        <v>4168.9999999999991</v>
      </c>
      <c r="G20" s="26">
        <f t="shared" si="1"/>
        <v>5417.2499999999991</v>
      </c>
      <c r="H20" s="26">
        <f t="shared" si="1"/>
        <v>6642.7499999999991</v>
      </c>
      <c r="I20" s="26">
        <f t="shared" si="1"/>
        <v>8141.2499999999991</v>
      </c>
      <c r="J20" s="26">
        <f t="shared" si="1"/>
        <v>9139.25</v>
      </c>
      <c r="K20" s="26">
        <f t="shared" si="1"/>
        <v>9181.75</v>
      </c>
      <c r="L20" s="26">
        <f t="shared" si="1"/>
        <v>9224.25</v>
      </c>
      <c r="M20" s="26">
        <f t="shared" si="1"/>
        <v>9221.25</v>
      </c>
      <c r="N20" s="26">
        <f t="shared" si="1"/>
        <v>8171.7499999999991</v>
      </c>
    </row>
  </sheetData>
  <hyperlinks>
    <hyperlink ref="B1" location="'Zenith Cafe'!A1" display="Home" xr:uid="{7C2125DE-0E32-4725-A3CE-FC689BA0F6A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2DAB-5B5A-45D2-A6F1-1A56A0C7A5D6}">
  <dimension ref="A1:O20"/>
  <sheetViews>
    <sheetView tabSelected="1" workbookViewId="0">
      <selection activeCell="B1" sqref="B1"/>
    </sheetView>
  </sheetViews>
  <sheetFormatPr defaultRowHeight="14.5" x14ac:dyDescent="0.35"/>
  <cols>
    <col min="1" max="1" width="38.26953125" bestFit="1" customWidth="1"/>
    <col min="2" max="2" width="7.453125" bestFit="1" customWidth="1"/>
    <col min="3" max="4" width="10.36328125" bestFit="1" customWidth="1"/>
    <col min="5" max="5" width="11.36328125" bestFit="1" customWidth="1"/>
    <col min="6" max="6" width="10.36328125" bestFit="1" customWidth="1"/>
    <col min="7" max="13" width="11.36328125" bestFit="1" customWidth="1"/>
    <col min="14" max="14" width="10.36328125" bestFit="1" customWidth="1"/>
    <col min="15" max="15" width="12.54296875" bestFit="1" customWidth="1"/>
  </cols>
  <sheetData>
    <row r="1" spans="1:15" ht="18.5" x14ac:dyDescent="0.45">
      <c r="A1" s="53" t="s">
        <v>132</v>
      </c>
      <c r="B1" s="54" t="s">
        <v>14</v>
      </c>
      <c r="G1" s="36" t="s">
        <v>76</v>
      </c>
    </row>
    <row r="2" spans="1:15" ht="21" x14ac:dyDescent="0.5">
      <c r="A2" s="13" t="s">
        <v>80</v>
      </c>
    </row>
    <row r="3" spans="1:15" x14ac:dyDescent="0.35">
      <c r="A3" t="s">
        <v>81</v>
      </c>
    </row>
    <row r="4" spans="1:15" x14ac:dyDescent="0.35">
      <c r="A4" s="1"/>
      <c r="B4" s="1"/>
      <c r="C4" s="18" t="s">
        <v>36</v>
      </c>
      <c r="D4" s="18" t="s">
        <v>37</v>
      </c>
      <c r="E4" s="18" t="s">
        <v>38</v>
      </c>
      <c r="F4" s="18" t="s">
        <v>39</v>
      </c>
      <c r="G4" s="18" t="s">
        <v>40</v>
      </c>
      <c r="H4" s="18" t="s">
        <v>41</v>
      </c>
      <c r="I4" s="18" t="s">
        <v>42</v>
      </c>
      <c r="J4" s="18" t="s">
        <v>43</v>
      </c>
      <c r="K4" s="18" t="s">
        <v>44</v>
      </c>
      <c r="L4" s="18" t="s">
        <v>45</v>
      </c>
      <c r="M4" s="18" t="s">
        <v>46</v>
      </c>
      <c r="N4" s="18" t="s">
        <v>47</v>
      </c>
      <c r="O4" s="18" t="s">
        <v>51</v>
      </c>
    </row>
    <row r="5" spans="1:15" x14ac:dyDescent="0.35">
      <c r="A5" t="s">
        <v>13</v>
      </c>
      <c r="C5" s="5">
        <f>Revenue!B15</f>
        <v>6512</v>
      </c>
      <c r="D5" s="5">
        <f>Revenue!C15</f>
        <v>6660</v>
      </c>
      <c r="E5" s="5">
        <f>Revenue!D15</f>
        <v>8140</v>
      </c>
      <c r="F5" s="5">
        <f>Revenue!E15</f>
        <v>6660</v>
      </c>
      <c r="G5" s="5">
        <f>Revenue!F15</f>
        <v>9361</v>
      </c>
      <c r="H5" s="5">
        <f>Revenue!G15</f>
        <v>9324</v>
      </c>
      <c r="I5" s="5">
        <f>Revenue!H15</f>
        <v>9768</v>
      </c>
      <c r="J5" s="5">
        <f>Revenue!I15</f>
        <v>8954</v>
      </c>
      <c r="K5" s="5">
        <f>Revenue!J15</f>
        <v>7400</v>
      </c>
      <c r="L5" s="5">
        <f>Revenue!K15</f>
        <v>7400</v>
      </c>
      <c r="M5" s="5">
        <f>Revenue!L15</f>
        <v>7326</v>
      </c>
      <c r="N5" s="5">
        <f>Revenue!M15</f>
        <v>5624</v>
      </c>
      <c r="O5" s="5">
        <f>SUM(C5:N5)</f>
        <v>93129</v>
      </c>
    </row>
    <row r="6" spans="1:15" x14ac:dyDescent="0.35">
      <c r="O6" s="5"/>
    </row>
    <row r="7" spans="1:15" x14ac:dyDescent="0.35">
      <c r="A7" t="s">
        <v>59</v>
      </c>
      <c r="C7" s="5">
        <f>Expenses!B7</f>
        <v>5208.3333333333339</v>
      </c>
      <c r="D7" s="5">
        <f>Expenses!C7</f>
        <v>5208.3333333333339</v>
      </c>
      <c r="E7" s="5">
        <f>Expenses!D7</f>
        <v>5208.3333333333339</v>
      </c>
      <c r="F7" s="5">
        <f>Expenses!E7</f>
        <v>5208.3333333333339</v>
      </c>
      <c r="G7" s="5">
        <f>Expenses!F7</f>
        <v>5208.3333333333339</v>
      </c>
      <c r="H7" s="5">
        <f>Expenses!G7</f>
        <v>5208.3333333333339</v>
      </c>
      <c r="I7" s="5">
        <f>Expenses!H7</f>
        <v>5208.3333333333339</v>
      </c>
      <c r="J7" s="5">
        <f>Expenses!I7</f>
        <v>5208.3333333333339</v>
      </c>
      <c r="K7" s="5">
        <f>Expenses!J7</f>
        <v>5208.3333333333339</v>
      </c>
      <c r="L7" s="5">
        <f>Expenses!K7</f>
        <v>5208.3333333333339</v>
      </c>
      <c r="M7" s="5">
        <f>Expenses!L7</f>
        <v>5208.3333333333339</v>
      </c>
      <c r="N7" s="5">
        <f>Expenses!M7</f>
        <v>5208.3333333333339</v>
      </c>
      <c r="O7" s="5">
        <f t="shared" ref="O7:O20" si="0">SUM(C7:N7)</f>
        <v>62500.000000000022</v>
      </c>
    </row>
    <row r="8" spans="1:15" x14ac:dyDescent="0.35">
      <c r="A8" t="s">
        <v>64</v>
      </c>
      <c r="C8" s="5">
        <f>Expenses!B13</f>
        <v>2092</v>
      </c>
      <c r="D8" s="5">
        <f>Expenses!C13</f>
        <v>2110</v>
      </c>
      <c r="E8" s="5">
        <f>Expenses!D13</f>
        <v>2290</v>
      </c>
      <c r="F8" s="5">
        <f>Expenses!E13</f>
        <v>2110</v>
      </c>
      <c r="G8" s="5">
        <f>Expenses!F13</f>
        <v>2438.5</v>
      </c>
      <c r="H8" s="5">
        <f>Expenses!G13</f>
        <v>2434</v>
      </c>
      <c r="I8" s="5">
        <f>Expenses!H13</f>
        <v>2488</v>
      </c>
      <c r="J8" s="5">
        <f>Expenses!I13</f>
        <v>2389</v>
      </c>
      <c r="K8" s="5">
        <f>Expenses!J13</f>
        <v>2200</v>
      </c>
      <c r="L8" s="5">
        <f>Expenses!K13</f>
        <v>2200</v>
      </c>
      <c r="M8" s="5">
        <f>Expenses!L13</f>
        <v>2191</v>
      </c>
      <c r="N8" s="5">
        <f>Expenses!M13</f>
        <v>1984</v>
      </c>
      <c r="O8" s="5">
        <f t="shared" si="0"/>
        <v>26926.5</v>
      </c>
    </row>
    <row r="9" spans="1:15" x14ac:dyDescent="0.35">
      <c r="A9" s="41" t="s">
        <v>82</v>
      </c>
      <c r="C9" s="5">
        <f>SUM(C7:C8)</f>
        <v>7300.3333333333339</v>
      </c>
      <c r="D9" s="5">
        <f t="shared" ref="D9:N9" si="1">SUM(D7:D8)</f>
        <v>7318.3333333333339</v>
      </c>
      <c r="E9" s="5">
        <f t="shared" si="1"/>
        <v>7498.3333333333339</v>
      </c>
      <c r="F9" s="5">
        <f t="shared" si="1"/>
        <v>7318.3333333333339</v>
      </c>
      <c r="G9" s="5">
        <f t="shared" si="1"/>
        <v>7646.8333333333339</v>
      </c>
      <c r="H9" s="5">
        <f t="shared" si="1"/>
        <v>7642.3333333333339</v>
      </c>
      <c r="I9" s="5">
        <f t="shared" si="1"/>
        <v>7696.3333333333339</v>
      </c>
      <c r="J9" s="5">
        <f t="shared" si="1"/>
        <v>7597.3333333333339</v>
      </c>
      <c r="K9" s="5">
        <f t="shared" si="1"/>
        <v>7408.3333333333339</v>
      </c>
      <c r="L9" s="5">
        <f t="shared" si="1"/>
        <v>7408.3333333333339</v>
      </c>
      <c r="M9" s="5">
        <f t="shared" si="1"/>
        <v>7399.3333333333339</v>
      </c>
      <c r="N9" s="5">
        <f t="shared" si="1"/>
        <v>7192.3333333333339</v>
      </c>
      <c r="O9" s="5">
        <f t="shared" si="0"/>
        <v>89426.5</v>
      </c>
    </row>
    <row r="10" spans="1:15" x14ac:dyDescent="0.35">
      <c r="O10" s="5"/>
    </row>
    <row r="11" spans="1:15" x14ac:dyDescent="0.35">
      <c r="A11" s="19" t="s">
        <v>83</v>
      </c>
      <c r="B11" s="19"/>
      <c r="C11" s="26">
        <f>C5-C9</f>
        <v>-788.33333333333394</v>
      </c>
      <c r="D11" s="26">
        <f t="shared" ref="D11:N11" si="2">D5-D9</f>
        <v>-658.33333333333394</v>
      </c>
      <c r="E11" s="26">
        <f t="shared" si="2"/>
        <v>641.66666666666606</v>
      </c>
      <c r="F11" s="26">
        <f t="shared" si="2"/>
        <v>-658.33333333333394</v>
      </c>
      <c r="G11" s="26">
        <f t="shared" si="2"/>
        <v>1714.1666666666661</v>
      </c>
      <c r="H11" s="26">
        <f t="shared" si="2"/>
        <v>1681.6666666666661</v>
      </c>
      <c r="I11" s="26">
        <f t="shared" si="2"/>
        <v>2071.6666666666661</v>
      </c>
      <c r="J11" s="26">
        <f t="shared" si="2"/>
        <v>1356.6666666666661</v>
      </c>
      <c r="K11" s="26">
        <f t="shared" si="2"/>
        <v>-8.3333333333339397</v>
      </c>
      <c r="L11" s="26">
        <f t="shared" si="2"/>
        <v>-8.3333333333339397</v>
      </c>
      <c r="M11" s="26">
        <f t="shared" si="2"/>
        <v>-73.33333333333394</v>
      </c>
      <c r="N11" s="26">
        <f t="shared" si="2"/>
        <v>-1568.3333333333339</v>
      </c>
      <c r="O11" s="26">
        <f t="shared" si="0"/>
        <v>3702.4999999999927</v>
      </c>
    </row>
    <row r="12" spans="1:15" x14ac:dyDescent="0.35">
      <c r="O12" s="5"/>
    </row>
    <row r="13" spans="1:15" x14ac:dyDescent="0.35">
      <c r="A13" s="39" t="s">
        <v>84</v>
      </c>
      <c r="B13" s="39"/>
      <c r="C13" s="42">
        <f>Expenses!D23</f>
        <v>569.44444444444446</v>
      </c>
      <c r="D13" s="42">
        <f>Expenses!E23</f>
        <v>569.44444444444446</v>
      </c>
      <c r="E13" s="42">
        <f>Expenses!F23</f>
        <v>569.44444444444446</v>
      </c>
      <c r="F13" s="42">
        <f>Expenses!G23</f>
        <v>569.44444444444446</v>
      </c>
      <c r="G13" s="42">
        <f>Expenses!H23</f>
        <v>569.44444444444446</v>
      </c>
      <c r="H13" s="42">
        <f>Expenses!I23</f>
        <v>569.44444444444446</v>
      </c>
      <c r="I13" s="42">
        <f>Expenses!J23</f>
        <v>569.44444444444446</v>
      </c>
      <c r="J13" s="42">
        <f>Expenses!K23</f>
        <v>569.44444444444446</v>
      </c>
      <c r="K13" s="42">
        <f>Expenses!L23</f>
        <v>569.44444444444446</v>
      </c>
      <c r="L13" s="42">
        <f>Expenses!M23</f>
        <v>569.44444444444446</v>
      </c>
      <c r="M13" s="42">
        <f>Expenses!N23</f>
        <v>569.44444444444446</v>
      </c>
      <c r="N13" s="42">
        <f>Expenses!O23</f>
        <v>569.44444444444446</v>
      </c>
      <c r="O13" s="43">
        <f t="shared" si="0"/>
        <v>6833.333333333333</v>
      </c>
    </row>
    <row r="14" spans="1:15" x14ac:dyDescent="0.35">
      <c r="A14" s="6" t="s">
        <v>85</v>
      </c>
      <c r="C14" s="5">
        <f>C11-C13</f>
        <v>-1357.7777777777783</v>
      </c>
      <c r="D14" s="5">
        <f t="shared" ref="D14:N14" si="3">D11-D13</f>
        <v>-1227.7777777777783</v>
      </c>
      <c r="E14" s="5">
        <f t="shared" si="3"/>
        <v>72.222222222221603</v>
      </c>
      <c r="F14" s="5">
        <f t="shared" si="3"/>
        <v>-1227.7777777777783</v>
      </c>
      <c r="G14" s="5">
        <f t="shared" si="3"/>
        <v>1144.7222222222217</v>
      </c>
      <c r="H14" s="5">
        <f t="shared" si="3"/>
        <v>1112.2222222222217</v>
      </c>
      <c r="I14" s="5">
        <f t="shared" si="3"/>
        <v>1502.2222222222217</v>
      </c>
      <c r="J14" s="5">
        <f t="shared" si="3"/>
        <v>787.2222222222216</v>
      </c>
      <c r="K14" s="5">
        <f t="shared" si="3"/>
        <v>-577.7777777777784</v>
      </c>
      <c r="L14" s="5">
        <f t="shared" si="3"/>
        <v>-577.7777777777784</v>
      </c>
      <c r="M14" s="5">
        <f t="shared" si="3"/>
        <v>-642.7777777777784</v>
      </c>
      <c r="N14" s="5">
        <f t="shared" si="3"/>
        <v>-2137.7777777777783</v>
      </c>
      <c r="O14" s="5">
        <f t="shared" si="0"/>
        <v>-3130.8333333333399</v>
      </c>
    </row>
    <row r="15" spans="1:15" x14ac:dyDescent="0.35">
      <c r="O15" s="5"/>
    </row>
    <row r="16" spans="1:15" x14ac:dyDescent="0.35">
      <c r="A16" s="40" t="s">
        <v>86</v>
      </c>
      <c r="B16" s="40"/>
      <c r="C16" s="43">
        <f>'Balance Sheet'!$F$3*Assumptions!$B$31/12</f>
        <v>175</v>
      </c>
      <c r="D16" s="43">
        <f>'Balance Sheet'!$F$3*Assumptions!$B$31/12</f>
        <v>175</v>
      </c>
      <c r="E16" s="43">
        <f>'Balance Sheet'!$F$3*Assumptions!$B$31/12</f>
        <v>175</v>
      </c>
      <c r="F16" s="43">
        <f>'Balance Sheet'!$F$3*Assumptions!$B$31/12</f>
        <v>175</v>
      </c>
      <c r="G16" s="43">
        <f>'Balance Sheet'!$F$3*Assumptions!$B$31/12</f>
        <v>175</v>
      </c>
      <c r="H16" s="43">
        <f>'Balance Sheet'!$F$3*Assumptions!$B$31/12</f>
        <v>175</v>
      </c>
      <c r="I16" s="43">
        <f>'Balance Sheet'!$F$3*Assumptions!$B$31/12</f>
        <v>175</v>
      </c>
      <c r="J16" s="43">
        <f>'Balance Sheet'!$F$3*Assumptions!$B$31/12</f>
        <v>175</v>
      </c>
      <c r="K16" s="43">
        <f>'Balance Sheet'!$F$3*Assumptions!$B$31/12</f>
        <v>175</v>
      </c>
      <c r="L16" s="43">
        <f>'Balance Sheet'!$F$3*Assumptions!$B$31/12</f>
        <v>175</v>
      </c>
      <c r="M16" s="43">
        <f>'Balance Sheet'!$F$3*Assumptions!$B$31/12</f>
        <v>175</v>
      </c>
      <c r="N16" s="43">
        <f>'Balance Sheet'!$F$3*Assumptions!$B$31/12</f>
        <v>175</v>
      </c>
      <c r="O16" s="43">
        <f t="shared" si="0"/>
        <v>2100</v>
      </c>
    </row>
    <row r="17" spans="1:15" x14ac:dyDescent="0.35">
      <c r="A17" s="6" t="s">
        <v>87</v>
      </c>
      <c r="C17" s="5">
        <f>C14-C16</f>
        <v>-1532.7777777777783</v>
      </c>
      <c r="D17" s="5">
        <f t="shared" ref="D17:N17" si="4">D14-D16</f>
        <v>-1402.7777777777783</v>
      </c>
      <c r="E17" s="5">
        <f t="shared" si="4"/>
        <v>-102.7777777777784</v>
      </c>
      <c r="F17" s="5">
        <f t="shared" si="4"/>
        <v>-1402.7777777777783</v>
      </c>
      <c r="G17" s="5">
        <f t="shared" si="4"/>
        <v>969.72222222222172</v>
      </c>
      <c r="H17" s="5">
        <f t="shared" si="4"/>
        <v>937.22222222222172</v>
      </c>
      <c r="I17" s="5">
        <f t="shared" si="4"/>
        <v>1327.2222222222217</v>
      </c>
      <c r="J17" s="5">
        <f t="shared" si="4"/>
        <v>612.2222222222216</v>
      </c>
      <c r="K17" s="5">
        <f t="shared" si="4"/>
        <v>-752.7777777777784</v>
      </c>
      <c r="L17" s="5">
        <f t="shared" si="4"/>
        <v>-752.7777777777784</v>
      </c>
      <c r="M17" s="5">
        <f t="shared" si="4"/>
        <v>-817.7777777777784</v>
      </c>
      <c r="N17" s="5">
        <f t="shared" si="4"/>
        <v>-2312.7777777777783</v>
      </c>
      <c r="O17" s="5">
        <f t="shared" si="0"/>
        <v>-5230.8333333333394</v>
      </c>
    </row>
    <row r="18" spans="1:15" x14ac:dyDescent="0.35">
      <c r="O18" s="5"/>
    </row>
    <row r="19" spans="1:15" x14ac:dyDescent="0.35">
      <c r="A19" t="s">
        <v>88</v>
      </c>
      <c r="C19" s="5">
        <f>C17*Assumptions!$B$32</f>
        <v>-459.83333333333348</v>
      </c>
      <c r="D19" s="5">
        <f>D17*Assumptions!$B$32</f>
        <v>-420.83333333333348</v>
      </c>
      <c r="E19" s="5">
        <f>E17*Assumptions!$B$32</f>
        <v>-30.833333333333517</v>
      </c>
      <c r="F19" s="5">
        <f>F17*Assumptions!$B$32</f>
        <v>-420.83333333333348</v>
      </c>
      <c r="G19" s="5">
        <f>G17*Assumptions!$B$32</f>
        <v>290.91666666666652</v>
      </c>
      <c r="H19" s="5">
        <f>H17*Assumptions!$B$32</f>
        <v>281.16666666666652</v>
      </c>
      <c r="I19" s="5">
        <f>I17*Assumptions!$B$32</f>
        <v>398.16666666666652</v>
      </c>
      <c r="J19" s="5">
        <f>J17*Assumptions!$B$32</f>
        <v>183.66666666666649</v>
      </c>
      <c r="K19" s="5">
        <f>K17*Assumptions!$B$32</f>
        <v>-225.83333333333351</v>
      </c>
      <c r="L19" s="5">
        <f>L17*Assumptions!$B$32</f>
        <v>-225.83333333333351</v>
      </c>
      <c r="M19" s="5">
        <f>M17*Assumptions!$B$32</f>
        <v>-245.33333333333351</v>
      </c>
      <c r="N19" s="5">
        <f>N17*Assumptions!$B$32</f>
        <v>-693.83333333333348</v>
      </c>
      <c r="O19" s="5">
        <f t="shared" si="0"/>
        <v>-1569.2500000000018</v>
      </c>
    </row>
    <row r="20" spans="1:15" x14ac:dyDescent="0.35">
      <c r="A20" s="19" t="s">
        <v>89</v>
      </c>
      <c r="B20" s="26"/>
      <c r="C20" s="26">
        <f>C17-C19</f>
        <v>-1072.9444444444448</v>
      </c>
      <c r="D20" s="26">
        <f>D17-D19</f>
        <v>-981.9444444444448</v>
      </c>
      <c r="E20" s="26">
        <f t="shared" ref="E20:N20" si="5">E17-E19</f>
        <v>-71.944444444444883</v>
      </c>
      <c r="F20" s="26">
        <f t="shared" si="5"/>
        <v>-981.9444444444448</v>
      </c>
      <c r="G20" s="26">
        <f t="shared" si="5"/>
        <v>678.8055555555552</v>
      </c>
      <c r="H20" s="26">
        <f t="shared" si="5"/>
        <v>656.0555555555552</v>
      </c>
      <c r="I20" s="26">
        <f t="shared" si="5"/>
        <v>929.0555555555552</v>
      </c>
      <c r="J20" s="26">
        <f t="shared" si="5"/>
        <v>428.55555555555509</v>
      </c>
      <c r="K20" s="26">
        <f t="shared" si="5"/>
        <v>-526.94444444444491</v>
      </c>
      <c r="L20" s="26">
        <f t="shared" si="5"/>
        <v>-526.94444444444491</v>
      </c>
      <c r="M20" s="26">
        <f t="shared" si="5"/>
        <v>-572.44444444444491</v>
      </c>
      <c r="N20" s="26">
        <f t="shared" si="5"/>
        <v>-1618.9444444444448</v>
      </c>
      <c r="O20" s="26">
        <f t="shared" si="0"/>
        <v>-3661.583333333338</v>
      </c>
    </row>
  </sheetData>
  <hyperlinks>
    <hyperlink ref="G1" location="'Zenith Cafe'!A1" display="Home" xr:uid="{568103F5-47B8-499A-A9F0-45BB0DC3F73E}"/>
  </hyperlink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B9BCDE-BE5E-40C0-AFA4-0D4C878E1786}">
          <x14:formula1>
            <xm:f>Assumptions!$B$3:$D$3</xm:f>
          </x14:formula1>
          <xm:sqref>B1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Zenith Cafe</vt:lpstr>
      <vt:lpstr>Assumptions</vt:lpstr>
      <vt:lpstr>Revenue</vt:lpstr>
      <vt:lpstr>Expenses</vt:lpstr>
      <vt:lpstr>Balance Sheet</vt:lpstr>
      <vt:lpstr>Cash Flow</vt:lpstr>
      <vt:lpstr>Income 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rotimi</dc:creator>
  <cp:lastModifiedBy>michael rotimi</cp:lastModifiedBy>
  <dcterms:created xsi:type="dcterms:W3CDTF">2015-06-05T18:17:20Z</dcterms:created>
  <dcterms:modified xsi:type="dcterms:W3CDTF">2026-01-03T10:59:41Z</dcterms:modified>
</cp:coreProperties>
</file>