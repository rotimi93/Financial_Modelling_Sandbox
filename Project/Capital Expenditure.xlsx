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icha\Documents\Finance\sandbox\Project\"/>
    </mc:Choice>
  </mc:AlternateContent>
  <xr:revisionPtr revIDLastSave="0" documentId="13_ncr:1_{35ABAD4E-FF5F-41D2-90C3-55AC9172C69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ssumptions" sheetId="1" r:id="rId1"/>
    <sheet name="Calculations CAPEX" sheetId="2" r:id="rId2"/>
  </sheets>
  <definedNames>
    <definedName name="AssetLife">Assumptions!$A$4:$B$13</definedName>
    <definedName name="Start">Assumptions!$B$2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0" i="2" l="1"/>
  <c r="X5" i="2"/>
  <c r="X6" i="2"/>
  <c r="X7" i="2"/>
  <c r="X8" i="2"/>
  <c r="X9" i="2"/>
  <c r="W5" i="2"/>
  <c r="W6" i="2"/>
  <c r="W7" i="2"/>
  <c r="W8" i="2"/>
  <c r="W9" i="2"/>
  <c r="W10" i="2"/>
  <c r="W4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Y5" i="2"/>
  <c r="Z5" i="2"/>
  <c r="AA5" i="2"/>
  <c r="AB5" i="2"/>
  <c r="AC5" i="2"/>
  <c r="AD5" i="2"/>
  <c r="AE5" i="2"/>
  <c r="AF5" i="2"/>
  <c r="AG5" i="2"/>
  <c r="AH5" i="2"/>
  <c r="AI5" i="2"/>
  <c r="AJ5" i="2"/>
  <c r="Y6" i="2"/>
  <c r="Z6" i="2"/>
  <c r="AA6" i="2"/>
  <c r="AB6" i="2"/>
  <c r="AC6" i="2"/>
  <c r="AD6" i="2"/>
  <c r="AE6" i="2"/>
  <c r="AF6" i="2"/>
  <c r="AG6" i="2"/>
  <c r="AH6" i="2"/>
  <c r="AI6" i="2"/>
  <c r="AJ6" i="2"/>
  <c r="Y7" i="2"/>
  <c r="Z7" i="2"/>
  <c r="AA7" i="2"/>
  <c r="AB7" i="2"/>
  <c r="AC7" i="2"/>
  <c r="AD7" i="2"/>
  <c r="AE7" i="2"/>
  <c r="AF7" i="2"/>
  <c r="AG7" i="2"/>
  <c r="AH7" i="2"/>
  <c r="AI7" i="2"/>
  <c r="AJ7" i="2"/>
  <c r="Y8" i="2"/>
  <c r="Z8" i="2"/>
  <c r="AA8" i="2"/>
  <c r="AB8" i="2"/>
  <c r="AC8" i="2"/>
  <c r="AD8" i="2"/>
  <c r="AE8" i="2"/>
  <c r="AF8" i="2"/>
  <c r="AG8" i="2"/>
  <c r="AH8" i="2"/>
  <c r="AI8" i="2"/>
  <c r="AJ8" i="2"/>
  <c r="Y9" i="2"/>
  <c r="Z9" i="2"/>
  <c r="AA9" i="2"/>
  <c r="AB9" i="2"/>
  <c r="AC9" i="2"/>
  <c r="AD9" i="2"/>
  <c r="AE9" i="2"/>
  <c r="AF9" i="2"/>
  <c r="AG9" i="2"/>
  <c r="AH9" i="2"/>
  <c r="AI9" i="2"/>
  <c r="AJ9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Z4" i="2"/>
  <c r="AA4" i="2"/>
  <c r="AB4" i="2"/>
  <c r="AC4" i="2"/>
  <c r="AD4" i="2"/>
  <c r="AE4" i="2"/>
  <c r="AF4" i="2"/>
  <c r="AG4" i="2"/>
  <c r="AH4" i="2"/>
  <c r="AH26" i="2" s="1"/>
  <c r="AI4" i="2"/>
  <c r="AJ4" i="2"/>
  <c r="Y4" i="2"/>
  <c r="Y26" i="2"/>
  <c r="H29" i="2" s="1"/>
  <c r="AD26" i="2"/>
  <c r="Z26" i="2"/>
  <c r="I29" i="2" s="1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4" i="2"/>
  <c r="U4" i="2"/>
  <c r="U5" i="2"/>
  <c r="U6" i="2"/>
  <c r="U7" i="2"/>
  <c r="U8" i="2"/>
  <c r="U9" i="2"/>
  <c r="U10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AC26" i="2" l="1"/>
  <c r="AG26" i="2"/>
  <c r="AE26" i="2"/>
  <c r="AA26" i="2"/>
  <c r="J29" i="2" s="1"/>
  <c r="AI26" i="2"/>
  <c r="AJ26" i="2"/>
  <c r="AF26" i="2"/>
  <c r="AB26" i="2"/>
  <c r="K29" i="2" s="1"/>
  <c r="L29" i="2" l="1"/>
  <c r="M29" i="2" s="1"/>
  <c r="N29" i="2" s="1"/>
  <c r="O29" i="2" s="1"/>
  <c r="P29" i="2" s="1"/>
  <c r="Q29" i="2" s="1"/>
  <c r="R29" i="2" s="1"/>
  <c r="S29" i="2" s="1"/>
  <c r="E14" i="2" l="1"/>
  <c r="E15" i="2"/>
  <c r="E16" i="2"/>
  <c r="E17" i="2"/>
  <c r="E18" i="2"/>
  <c r="E19" i="2"/>
  <c r="E20" i="2"/>
  <c r="E21" i="2"/>
  <c r="E22" i="2"/>
  <c r="E23" i="2"/>
  <c r="E24" i="2"/>
  <c r="E25" i="2"/>
  <c r="E13" i="2"/>
  <c r="E5" i="2"/>
  <c r="E6" i="2"/>
  <c r="E7" i="2"/>
  <c r="E8" i="2"/>
  <c r="E9" i="2"/>
  <c r="E10" i="2"/>
  <c r="E4" i="2"/>
  <c r="E26" i="2" l="1"/>
  <c r="G5" i="2" l="1"/>
  <c r="G9" i="2"/>
  <c r="G8" i="2"/>
  <c r="G6" i="2"/>
  <c r="G10" i="2"/>
  <c r="X10" i="2" s="1"/>
  <c r="G7" i="2"/>
  <c r="G4" i="2"/>
  <c r="X4" i="2" s="1"/>
  <c r="H2" i="2"/>
  <c r="A12" i="2"/>
  <c r="A1" i="2"/>
  <c r="Y2" i="2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G26" i="2" l="1"/>
  <c r="H5" i="2"/>
  <c r="H6" i="2"/>
  <c r="H7" i="2"/>
  <c r="H8" i="2"/>
  <c r="H9" i="2"/>
  <c r="H10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I2" i="2"/>
  <c r="H4" i="2"/>
  <c r="H26" i="2" l="1"/>
  <c r="H28" i="2" s="1"/>
  <c r="H30" i="2" s="1"/>
  <c r="I24" i="2"/>
  <c r="I5" i="2"/>
  <c r="I6" i="2"/>
  <c r="I7" i="2"/>
  <c r="I8" i="2"/>
  <c r="I9" i="2"/>
  <c r="I10" i="2"/>
  <c r="I13" i="2"/>
  <c r="I14" i="2"/>
  <c r="I15" i="2"/>
  <c r="I16" i="2"/>
  <c r="I17" i="2"/>
  <c r="I18" i="2"/>
  <c r="I19" i="2"/>
  <c r="I20" i="2"/>
  <c r="I21" i="2"/>
  <c r="I22" i="2"/>
  <c r="I23" i="2"/>
  <c r="I25" i="2"/>
  <c r="J2" i="2"/>
  <c r="I4" i="2"/>
  <c r="I26" i="2" l="1"/>
  <c r="I28" i="2" s="1"/>
  <c r="J5" i="2"/>
  <c r="J13" i="2"/>
  <c r="J18" i="2"/>
  <c r="J23" i="2"/>
  <c r="J7" i="2"/>
  <c r="J8" i="2"/>
  <c r="J14" i="2"/>
  <c r="J15" i="2"/>
  <c r="J16" i="2"/>
  <c r="J17" i="2"/>
  <c r="J20" i="2"/>
  <c r="J21" i="2"/>
  <c r="J22" i="2"/>
  <c r="J6" i="2"/>
  <c r="J9" i="2"/>
  <c r="J10" i="2"/>
  <c r="J19" i="2"/>
  <c r="J24" i="2"/>
  <c r="J25" i="2"/>
  <c r="K2" i="2"/>
  <c r="J4" i="2"/>
  <c r="J28" i="2" l="1"/>
  <c r="I30" i="2"/>
  <c r="J26" i="2"/>
  <c r="K6" i="2"/>
  <c r="K5" i="2"/>
  <c r="K9" i="2"/>
  <c r="K13" i="2"/>
  <c r="K17" i="2"/>
  <c r="K21" i="2"/>
  <c r="K25" i="2"/>
  <c r="K8" i="2"/>
  <c r="K16" i="2"/>
  <c r="K20" i="2"/>
  <c r="K24" i="2"/>
  <c r="K7" i="2"/>
  <c r="K15" i="2"/>
  <c r="K19" i="2"/>
  <c r="K23" i="2"/>
  <c r="K10" i="2"/>
  <c r="K14" i="2"/>
  <c r="K18" i="2"/>
  <c r="K22" i="2"/>
  <c r="L2" i="2"/>
  <c r="K4" i="2"/>
  <c r="J30" i="2" l="1"/>
  <c r="K26" i="2"/>
  <c r="K28" i="2" s="1"/>
  <c r="L5" i="2"/>
  <c r="L6" i="2"/>
  <c r="L7" i="2"/>
  <c r="L8" i="2"/>
  <c r="L9" i="2"/>
  <c r="L10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M2" i="2"/>
  <c r="L4" i="2"/>
  <c r="K30" i="2" l="1"/>
  <c r="L26" i="2"/>
  <c r="L28" i="2" s="1"/>
  <c r="M5" i="2"/>
  <c r="M6" i="2"/>
  <c r="M7" i="2"/>
  <c r="M8" i="2"/>
  <c r="M9" i="2"/>
  <c r="M10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N2" i="2"/>
  <c r="M4" i="2"/>
  <c r="L30" i="2" l="1"/>
  <c r="M26" i="2"/>
  <c r="M28" i="2" s="1"/>
  <c r="N9" i="2"/>
  <c r="N10" i="2"/>
  <c r="N14" i="2"/>
  <c r="N24" i="2"/>
  <c r="N5" i="2"/>
  <c r="N6" i="2"/>
  <c r="N13" i="2"/>
  <c r="N19" i="2"/>
  <c r="N25" i="2"/>
  <c r="N7" i="2"/>
  <c r="N8" i="2"/>
  <c r="N15" i="2"/>
  <c r="N16" i="2"/>
  <c r="N17" i="2"/>
  <c r="N18" i="2"/>
  <c r="N20" i="2"/>
  <c r="N21" i="2"/>
  <c r="N22" i="2"/>
  <c r="N23" i="2"/>
  <c r="O2" i="2"/>
  <c r="N4" i="2"/>
  <c r="M30" i="2" l="1"/>
  <c r="N26" i="2"/>
  <c r="N28" i="2" s="1"/>
  <c r="O5" i="2"/>
  <c r="O6" i="2"/>
  <c r="O10" i="2"/>
  <c r="O14" i="2"/>
  <c r="O18" i="2"/>
  <c r="O22" i="2"/>
  <c r="O9" i="2"/>
  <c r="O13" i="2"/>
  <c r="O17" i="2"/>
  <c r="O21" i="2"/>
  <c r="O25" i="2"/>
  <c r="O8" i="2"/>
  <c r="O16" i="2"/>
  <c r="O20" i="2"/>
  <c r="O24" i="2"/>
  <c r="O7" i="2"/>
  <c r="O15" i="2"/>
  <c r="O19" i="2"/>
  <c r="O23" i="2"/>
  <c r="P2" i="2"/>
  <c r="O4" i="2"/>
  <c r="O28" i="2" l="1"/>
  <c r="N30" i="2"/>
  <c r="O26" i="2"/>
  <c r="P5" i="2"/>
  <c r="P6" i="2"/>
  <c r="P7" i="2"/>
  <c r="P8" i="2"/>
  <c r="P9" i="2"/>
  <c r="P10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Q2" i="2"/>
  <c r="P4" i="2"/>
  <c r="O30" i="2" l="1"/>
  <c r="P26" i="2"/>
  <c r="P28" i="2" s="1"/>
  <c r="Q24" i="2"/>
  <c r="Q25" i="2"/>
  <c r="Q5" i="2"/>
  <c r="Q6" i="2"/>
  <c r="Q7" i="2"/>
  <c r="Q8" i="2"/>
  <c r="Q9" i="2"/>
  <c r="Q10" i="2"/>
  <c r="Q13" i="2"/>
  <c r="Q14" i="2"/>
  <c r="Q15" i="2"/>
  <c r="Q16" i="2"/>
  <c r="Q17" i="2"/>
  <c r="Q18" i="2"/>
  <c r="Q19" i="2"/>
  <c r="Q20" i="2"/>
  <c r="Q21" i="2"/>
  <c r="Q22" i="2"/>
  <c r="Q23" i="2"/>
  <c r="R2" i="2"/>
  <c r="Q4" i="2"/>
  <c r="P30" i="2" l="1"/>
  <c r="Q26" i="2"/>
  <c r="Q28" i="2" s="1"/>
  <c r="R7" i="2"/>
  <c r="R15" i="2"/>
  <c r="R16" i="2"/>
  <c r="R19" i="2"/>
  <c r="R20" i="2"/>
  <c r="R21" i="2"/>
  <c r="R25" i="2"/>
  <c r="R8" i="2"/>
  <c r="R9" i="2"/>
  <c r="R10" i="2"/>
  <c r="R17" i="2"/>
  <c r="R18" i="2"/>
  <c r="R22" i="2"/>
  <c r="R23" i="2"/>
  <c r="R24" i="2"/>
  <c r="R5" i="2"/>
  <c r="R6" i="2"/>
  <c r="R13" i="2"/>
  <c r="R14" i="2"/>
  <c r="S2" i="2"/>
  <c r="R4" i="2"/>
  <c r="Q30" i="2" l="1"/>
  <c r="R26" i="2"/>
  <c r="R28" i="2" s="1"/>
  <c r="S4" i="2"/>
  <c r="S5" i="2"/>
  <c r="S7" i="2"/>
  <c r="S15" i="2"/>
  <c r="S19" i="2"/>
  <c r="S23" i="2"/>
  <c r="S6" i="2"/>
  <c r="S10" i="2"/>
  <c r="S14" i="2"/>
  <c r="S18" i="2"/>
  <c r="S22" i="2"/>
  <c r="S9" i="2"/>
  <c r="S13" i="2"/>
  <c r="S17" i="2"/>
  <c r="S21" i="2"/>
  <c r="S25" i="2"/>
  <c r="S8" i="2"/>
  <c r="S16" i="2"/>
  <c r="S20" i="2"/>
  <c r="S24" i="2"/>
  <c r="R30" i="2" l="1"/>
  <c r="S26" i="2"/>
  <c r="S28" i="2" s="1"/>
  <c r="S30" i="2" s="1"/>
</calcChain>
</file>

<file path=xl/sharedStrings.xml><?xml version="1.0" encoding="utf-8"?>
<sst xmlns="http://schemas.openxmlformats.org/spreadsheetml/2006/main" count="73" uniqueCount="49">
  <si>
    <t>Model Start Date</t>
  </si>
  <si>
    <t>Item</t>
  </si>
  <si>
    <t>Useful Life</t>
  </si>
  <si>
    <t>(Years)</t>
  </si>
  <si>
    <t>69803 - Computer Equipment</t>
  </si>
  <si>
    <t>69805 - Software</t>
  </si>
  <si>
    <t>69804 - Office Equipment</t>
  </si>
  <si>
    <t>69821 - Office Equipment</t>
  </si>
  <si>
    <t>69802 - Maintenance / Support / Renewals</t>
  </si>
  <si>
    <t>69814 - Connectivity</t>
  </si>
  <si>
    <t>69804 - Furniture</t>
  </si>
  <si>
    <t>Purchase Type</t>
  </si>
  <si>
    <t>No Units</t>
  </si>
  <si>
    <t>Cost Each</t>
  </si>
  <si>
    <t>Total Spend $</t>
  </si>
  <si>
    <t>Spend Date</t>
  </si>
  <si>
    <t>Prior Period</t>
  </si>
  <si>
    <t>Fixed Assets Register (Prior Spend)</t>
  </si>
  <si>
    <t>69803 - Printers &amp; Photocopiers</t>
  </si>
  <si>
    <t>Detail</t>
  </si>
  <si>
    <t>DEPRECIATION</t>
  </si>
  <si>
    <t>Table</t>
  </si>
  <si>
    <t xml:space="preserve">HP desktop + LCD </t>
  </si>
  <si>
    <t>Laptop for new managers</t>
  </si>
  <si>
    <t>HP Printers for new managers</t>
  </si>
  <si>
    <t xml:space="preserve">Xerox Copiers </t>
  </si>
  <si>
    <t>Printers for branches</t>
  </si>
  <si>
    <t>Micro station renewal</t>
  </si>
  <si>
    <t>File server (HP DL380)</t>
  </si>
  <si>
    <t>External storage</t>
  </si>
  <si>
    <t xml:space="preserve">IP Phone </t>
  </si>
  <si>
    <t>Miscellaneous</t>
  </si>
  <si>
    <t>Chairs maintenance</t>
  </si>
  <si>
    <t xml:space="preserve">Nitro PDF </t>
  </si>
  <si>
    <t>Enterprise MS Project Management solution</t>
  </si>
  <si>
    <t>SSL VPN (25 users)</t>
  </si>
  <si>
    <t xml:space="preserve">Virus threat security solution </t>
  </si>
  <si>
    <t>PABX Support 1 Year - Renewal</t>
  </si>
  <si>
    <t xml:space="preserve">HP Servers Maint. </t>
  </si>
  <si>
    <t xml:space="preserve"> Spam &amp; Virus Firewall + Replacement Support</t>
  </si>
  <si>
    <t>Gross PP&amp;E</t>
  </si>
  <si>
    <t>Less: Depreciation &amp; Amortization</t>
  </si>
  <si>
    <t>Total Fixed Assets</t>
  </si>
  <si>
    <t>Total Depreciation</t>
  </si>
  <si>
    <t xml:space="preserve">Total CashFlow </t>
  </si>
  <si>
    <t>Useful Life (mths)</t>
  </si>
  <si>
    <t>Written Down Date</t>
  </si>
  <si>
    <t>Depn in Prior Period</t>
  </si>
  <si>
    <t>Elapsed Months since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</si>
</sst>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₦&quot;* #,##0.00_-;\-&quot;₦&quot;* #,##0.00_-;_-&quot;₦&quot;* &quot;-&quot;??_-;_-@_-"/>
    <numFmt numFmtId="168" formatCode="[$]d\ mmm\ yyyy;@" x16r2:formatCode16="[$-en-NG,1]d\ mmm\ yyyy;@"/>
    <numFmt numFmtId="170" formatCode="_(* #,##0.00_);_(* \(#,##0.00\);_(* &quot;-&quot;??_);_(@_)"/>
    <numFmt numFmtId="171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8"/>
      </left>
      <right/>
      <top/>
      <bottom style="thin">
        <color theme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55">
    <xf numFmtId="0" fontId="0" fillId="0" borderId="0" xfId="0"/>
    <xf numFmtId="0" fontId="3" fillId="4" borderId="0" xfId="0" applyFont="1" applyFill="1"/>
    <xf numFmtId="0" fontId="0" fillId="3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horizontal="center"/>
    </xf>
    <xf numFmtId="0" fontId="2" fillId="0" borderId="0" xfId="0" applyFont="1"/>
    <xf numFmtId="14" fontId="0" fillId="3" borderId="0" xfId="0" applyNumberFormat="1" applyFill="1"/>
    <xf numFmtId="171" fontId="6" fillId="5" borderId="1" xfId="2" applyNumberFormat="1" applyFont="1" applyFill="1" applyBorder="1"/>
    <xf numFmtId="171" fontId="6" fillId="0" borderId="0" xfId="2" applyNumberFormat="1" applyFont="1" applyFill="1" applyBorder="1"/>
    <xf numFmtId="168" fontId="7" fillId="4" borderId="0" xfId="0" applyNumberFormat="1" applyFont="1" applyFill="1"/>
    <xf numFmtId="171" fontId="8" fillId="0" borderId="0" xfId="2" applyNumberFormat="1" applyFont="1" applyFill="1" applyBorder="1"/>
    <xf numFmtId="0" fontId="0" fillId="0" borderId="0" xfId="0" applyFill="1"/>
    <xf numFmtId="0" fontId="7" fillId="0" borderId="0" xfId="0" applyFont="1" applyFill="1"/>
    <xf numFmtId="0" fontId="7" fillId="2" borderId="0" xfId="0" applyFont="1" applyFill="1" applyAlignment="1">
      <alignment horizontal="right"/>
    </xf>
    <xf numFmtId="0" fontId="7" fillId="4" borderId="0" xfId="0" applyFont="1" applyFill="1" applyAlignment="1">
      <alignment horizontal="right"/>
    </xf>
    <xf numFmtId="44" fontId="0" fillId="0" borderId="0" xfId="1" applyFont="1"/>
    <xf numFmtId="44" fontId="7" fillId="4" borderId="0" xfId="1" applyFont="1" applyFill="1"/>
    <xf numFmtId="171" fontId="8" fillId="5" borderId="3" xfId="2" applyNumberFormat="1" applyFont="1" applyFill="1" applyBorder="1"/>
    <xf numFmtId="0" fontId="0" fillId="5" borderId="2" xfId="0" applyFill="1" applyBorder="1"/>
    <xf numFmtId="44" fontId="0" fillId="5" borderId="2" xfId="1" applyFont="1" applyFill="1" applyBorder="1"/>
    <xf numFmtId="171" fontId="8" fillId="5" borderId="4" xfId="2" applyNumberFormat="1" applyFont="1" applyFill="1" applyBorder="1"/>
    <xf numFmtId="0" fontId="0" fillId="5" borderId="5" xfId="0" applyFill="1" applyBorder="1"/>
    <xf numFmtId="44" fontId="0" fillId="5" borderId="5" xfId="1" applyFont="1" applyFill="1" applyBorder="1"/>
    <xf numFmtId="171" fontId="8" fillId="5" borderId="6" xfId="2" applyNumberFormat="1" applyFont="1" applyFill="1" applyBorder="1"/>
    <xf numFmtId="0" fontId="0" fillId="5" borderId="7" xfId="0" applyFill="1" applyBorder="1"/>
    <xf numFmtId="44" fontId="0" fillId="5" borderId="7" xfId="1" applyFont="1" applyFill="1" applyBorder="1"/>
    <xf numFmtId="0" fontId="2" fillId="0" borderId="0" xfId="0" applyFont="1" applyFill="1" applyBorder="1"/>
    <xf numFmtId="0" fontId="0" fillId="0" borderId="0" xfId="0" applyFill="1" applyBorder="1"/>
    <xf numFmtId="44" fontId="7" fillId="0" borderId="0" xfId="1" applyFont="1" applyFill="1" applyBorder="1"/>
    <xf numFmtId="168" fontId="0" fillId="0" borderId="0" xfId="0" applyNumberFormat="1"/>
    <xf numFmtId="168" fontId="0" fillId="3" borderId="2" xfId="0" applyNumberFormat="1" applyFill="1" applyBorder="1"/>
    <xf numFmtId="0" fontId="0" fillId="0" borderId="0" xfId="1" applyNumberFormat="1" applyFont="1"/>
    <xf numFmtId="0" fontId="0" fillId="0" borderId="0" xfId="0" applyNumberFormat="1"/>
    <xf numFmtId="0" fontId="0" fillId="0" borderId="0" xfId="0" applyNumberFormat="1" applyFill="1"/>
    <xf numFmtId="171" fontId="0" fillId="0" borderId="0" xfId="1" applyNumberFormat="1" applyFont="1"/>
    <xf numFmtId="0" fontId="2" fillId="0" borderId="8" xfId="0" applyFont="1" applyBorder="1"/>
    <xf numFmtId="0" fontId="2" fillId="0" borderId="8" xfId="0" applyFont="1" applyFill="1" applyBorder="1"/>
    <xf numFmtId="0" fontId="0" fillId="0" borderId="8" xfId="0" applyFill="1" applyBorder="1"/>
    <xf numFmtId="168" fontId="0" fillId="0" borderId="8" xfId="0" applyNumberFormat="1" applyBorder="1"/>
    <xf numFmtId="0" fontId="0" fillId="0" borderId="8" xfId="0" applyBorder="1"/>
    <xf numFmtId="44" fontId="0" fillId="0" borderId="8" xfId="1" applyFont="1" applyBorder="1"/>
    <xf numFmtId="0" fontId="0" fillId="0" borderId="8" xfId="1" applyNumberFormat="1" applyFont="1" applyBorder="1"/>
    <xf numFmtId="14" fontId="0" fillId="0" borderId="8" xfId="0" applyNumberFormat="1" applyBorder="1"/>
    <xf numFmtId="0" fontId="0" fillId="0" borderId="8" xfId="0" applyNumberFormat="1" applyBorder="1"/>
    <xf numFmtId="44" fontId="7" fillId="2" borderId="0" xfId="0" applyNumberFormat="1" applyFont="1" applyFill="1"/>
    <xf numFmtId="168" fontId="7" fillId="2" borderId="0" xfId="0" applyNumberFormat="1" applyFont="1" applyFill="1" applyAlignment="1">
      <alignment horizontal="center" wrapText="1"/>
    </xf>
    <xf numFmtId="0" fontId="7" fillId="0" borderId="0" xfId="0" applyFont="1" applyFill="1" applyAlignment="1">
      <alignment horizontal="right"/>
    </xf>
    <xf numFmtId="0" fontId="7" fillId="4" borderId="0" xfId="0" applyFont="1" applyFill="1" applyAlignment="1">
      <alignment horizontal="center" wrapText="1"/>
    </xf>
    <xf numFmtId="168" fontId="7" fillId="4" borderId="0" xfId="0" applyNumberFormat="1" applyFont="1" applyFill="1" applyAlignment="1">
      <alignment horizontal="center" wrapText="1"/>
    </xf>
    <xf numFmtId="168" fontId="4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1" fontId="0" fillId="0" borderId="0" xfId="0" applyNumberFormat="1"/>
    <xf numFmtId="44" fontId="0" fillId="0" borderId="0" xfId="0" applyNumberFormat="1"/>
    <xf numFmtId="44" fontId="3" fillId="4" borderId="0" xfId="0" applyNumberFormat="1" applyFont="1" applyFill="1"/>
  </cellXfs>
  <cellStyles count="3">
    <cellStyle name="Comma 12" xfId="2" xr:uid="{460D10CA-50C4-4421-ACB3-D855FB73CB46}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3"/>
  <sheetViews>
    <sheetView workbookViewId="0">
      <selection activeCell="B2" sqref="B2"/>
    </sheetView>
  </sheetViews>
  <sheetFormatPr defaultRowHeight="14.5" x14ac:dyDescent="0.35"/>
  <cols>
    <col min="1" max="1" width="36.81640625" bestFit="1" customWidth="1"/>
    <col min="2" max="2" width="10.453125" bestFit="1" customWidth="1"/>
  </cols>
  <sheetData>
    <row r="2" spans="1:2" ht="15.5" x14ac:dyDescent="0.35">
      <c r="A2" s="3" t="s">
        <v>0</v>
      </c>
      <c r="B2" s="7">
        <v>46040</v>
      </c>
    </row>
    <row r="4" spans="1:2" x14ac:dyDescent="0.35">
      <c r="A4" s="1"/>
      <c r="B4" s="1" t="s">
        <v>2</v>
      </c>
    </row>
    <row r="5" spans="1:2" x14ac:dyDescent="0.35">
      <c r="A5" s="1" t="s">
        <v>1</v>
      </c>
      <c r="B5" s="1" t="s">
        <v>3</v>
      </c>
    </row>
    <row r="6" spans="1:2" x14ac:dyDescent="0.35">
      <c r="A6" s="2" t="s">
        <v>4</v>
      </c>
      <c r="B6" s="2">
        <v>4</v>
      </c>
    </row>
    <row r="7" spans="1:2" x14ac:dyDescent="0.35">
      <c r="A7" s="2" t="s">
        <v>5</v>
      </c>
      <c r="B7" s="2">
        <v>1</v>
      </c>
    </row>
    <row r="8" spans="1:2" x14ac:dyDescent="0.35">
      <c r="A8" s="2" t="s">
        <v>18</v>
      </c>
      <c r="B8" s="2">
        <v>4</v>
      </c>
    </row>
    <row r="9" spans="1:2" x14ac:dyDescent="0.35">
      <c r="A9" s="2" t="s">
        <v>6</v>
      </c>
      <c r="B9" s="2">
        <v>4</v>
      </c>
    </row>
    <row r="10" spans="1:2" x14ac:dyDescent="0.35">
      <c r="A10" s="2" t="s">
        <v>7</v>
      </c>
      <c r="B10" s="2">
        <v>5</v>
      </c>
    </row>
    <row r="11" spans="1:2" x14ac:dyDescent="0.35">
      <c r="A11" s="2" t="s">
        <v>8</v>
      </c>
      <c r="B11" s="2">
        <v>1</v>
      </c>
    </row>
    <row r="12" spans="1:2" x14ac:dyDescent="0.35">
      <c r="A12" s="2" t="s">
        <v>9</v>
      </c>
      <c r="B12" s="2">
        <v>1</v>
      </c>
    </row>
    <row r="13" spans="1:2" x14ac:dyDescent="0.35">
      <c r="A13" s="2" t="s">
        <v>10</v>
      </c>
      <c r="B13" s="2">
        <v>6</v>
      </c>
    </row>
  </sheetData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36F8A-1411-4293-A897-4D1C31B448D3}">
  <dimension ref="A1:AN30"/>
  <sheetViews>
    <sheetView tabSelected="1" zoomScale="90" zoomScaleNormal="90" workbookViewId="0">
      <pane xSplit="1" topLeftCell="Y1" activePane="topRight" state="frozen"/>
      <selection pane="topRight" activeCell="L33" sqref="L33"/>
    </sheetView>
  </sheetViews>
  <sheetFormatPr defaultRowHeight="14.5" x14ac:dyDescent="0.35"/>
  <cols>
    <col min="1" max="1" width="34.26953125" customWidth="1"/>
    <col min="2" max="2" width="46.08984375" bestFit="1" customWidth="1"/>
    <col min="3" max="3" width="8.90625" bestFit="1" customWidth="1"/>
    <col min="4" max="4" width="15.54296875" bestFit="1" customWidth="1"/>
    <col min="5" max="5" width="14" bestFit="1" customWidth="1"/>
    <col min="6" max="6" width="11.6328125" style="30" bestFit="1" customWidth="1"/>
    <col min="7" max="7" width="12" bestFit="1" customWidth="1"/>
    <col min="8" max="8" width="11.7265625" bestFit="1" customWidth="1"/>
    <col min="9" max="10" width="12.81640625" bestFit="1" customWidth="1"/>
    <col min="11" max="11" width="11.90625" bestFit="1" customWidth="1"/>
    <col min="12" max="12" width="12.6328125" bestFit="1" customWidth="1"/>
    <col min="13" max="13" width="11.7265625" bestFit="1" customWidth="1"/>
    <col min="14" max="14" width="11.54296875" bestFit="1" customWidth="1"/>
    <col min="15" max="15" width="12.08984375" bestFit="1" customWidth="1"/>
    <col min="16" max="16" width="12.7265625" bestFit="1" customWidth="1"/>
    <col min="17" max="17" width="11.81640625" bestFit="1" customWidth="1"/>
    <col min="18" max="18" width="12.1796875" bestFit="1" customWidth="1"/>
    <col min="19" max="19" width="12" bestFit="1" customWidth="1"/>
    <col min="21" max="21" width="14.54296875" customWidth="1"/>
    <col min="22" max="22" width="14.453125" customWidth="1"/>
    <col min="23" max="23" width="14" customWidth="1"/>
    <col min="24" max="24" width="18.26953125" bestFit="1" customWidth="1"/>
    <col min="25" max="25" width="11.6328125" bestFit="1" customWidth="1"/>
    <col min="26" max="26" width="11.90625" bestFit="1" customWidth="1"/>
    <col min="27" max="27" width="12.453125" bestFit="1" customWidth="1"/>
    <col min="28" max="28" width="11.90625" bestFit="1" customWidth="1"/>
    <col min="29" max="29" width="12.6328125" bestFit="1" customWidth="1"/>
    <col min="30" max="31" width="11.7265625" bestFit="1" customWidth="1"/>
    <col min="32" max="32" width="12.08984375" bestFit="1" customWidth="1"/>
    <col min="33" max="33" width="12.7265625" bestFit="1" customWidth="1"/>
    <col min="34" max="34" width="11.81640625" bestFit="1" customWidth="1"/>
    <col min="35" max="35" width="12.1796875" bestFit="1" customWidth="1"/>
    <col min="36" max="36" width="12" bestFit="1" customWidth="1"/>
    <col min="37" max="39" width="18.26953125" bestFit="1" customWidth="1"/>
  </cols>
  <sheetData>
    <row r="1" spans="1:36" ht="18.5" x14ac:dyDescent="0.45">
      <c r="A1" s="5" t="str">
        <f>"CAPEX BUDGET | CASHFLOW "&amp;YEAR(Start)</f>
        <v>CAPEX BUDGET | CASHFLOW 2026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Y1" s="5" t="s">
        <v>20</v>
      </c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6" s="51" customFormat="1" ht="46.5" customHeight="1" x14ac:dyDescent="0.35">
      <c r="A2" s="48" t="s">
        <v>11</v>
      </c>
      <c r="B2" s="48" t="s">
        <v>19</v>
      </c>
      <c r="C2" s="48" t="s">
        <v>12</v>
      </c>
      <c r="D2" s="48" t="s">
        <v>13</v>
      </c>
      <c r="E2" s="48" t="s">
        <v>14</v>
      </c>
      <c r="F2" s="49" t="s">
        <v>15</v>
      </c>
      <c r="G2" s="48" t="s">
        <v>16</v>
      </c>
      <c r="H2" s="49">
        <f>Start</f>
        <v>46040</v>
      </c>
      <c r="I2" s="49">
        <f>EDATE(H2,1)</f>
        <v>46071</v>
      </c>
      <c r="J2" s="49">
        <f t="shared" ref="J2:S2" si="0">EDATE(I2,1)</f>
        <v>46099</v>
      </c>
      <c r="K2" s="49">
        <f t="shared" si="0"/>
        <v>46130</v>
      </c>
      <c r="L2" s="49">
        <f t="shared" si="0"/>
        <v>46160</v>
      </c>
      <c r="M2" s="49">
        <f t="shared" si="0"/>
        <v>46191</v>
      </c>
      <c r="N2" s="49">
        <f t="shared" si="0"/>
        <v>46221</v>
      </c>
      <c r="O2" s="49">
        <f t="shared" si="0"/>
        <v>46252</v>
      </c>
      <c r="P2" s="49">
        <f t="shared" si="0"/>
        <v>46283</v>
      </c>
      <c r="Q2" s="49">
        <f t="shared" si="0"/>
        <v>46313</v>
      </c>
      <c r="R2" s="49">
        <f t="shared" si="0"/>
        <v>46344</v>
      </c>
      <c r="S2" s="49">
        <f t="shared" si="0"/>
        <v>46374</v>
      </c>
      <c r="T2" s="50"/>
      <c r="U2" s="46" t="s">
        <v>45</v>
      </c>
      <c r="V2" s="46" t="s">
        <v>46</v>
      </c>
      <c r="W2" s="46" t="s">
        <v>48</v>
      </c>
      <c r="X2" s="46" t="s">
        <v>47</v>
      </c>
      <c r="Y2" s="46">
        <f>Start</f>
        <v>46040</v>
      </c>
      <c r="Z2" s="46">
        <f>EDATE(Y2,1)</f>
        <v>46071</v>
      </c>
      <c r="AA2" s="46">
        <f t="shared" ref="AA2:AJ2" si="1">EDATE(Z2,1)</f>
        <v>46099</v>
      </c>
      <c r="AB2" s="46">
        <f t="shared" si="1"/>
        <v>46130</v>
      </c>
      <c r="AC2" s="46">
        <f t="shared" si="1"/>
        <v>46160</v>
      </c>
      <c r="AD2" s="46">
        <f t="shared" si="1"/>
        <v>46191</v>
      </c>
      <c r="AE2" s="46">
        <f t="shared" si="1"/>
        <v>46221</v>
      </c>
      <c r="AF2" s="46">
        <f t="shared" si="1"/>
        <v>46252</v>
      </c>
      <c r="AG2" s="46">
        <f t="shared" si="1"/>
        <v>46283</v>
      </c>
      <c r="AH2" s="46">
        <f t="shared" si="1"/>
        <v>46313</v>
      </c>
      <c r="AI2" s="46">
        <f t="shared" si="1"/>
        <v>46344</v>
      </c>
      <c r="AJ2" s="46">
        <f t="shared" si="1"/>
        <v>46374</v>
      </c>
    </row>
    <row r="3" spans="1:36" ht="14.5" customHeight="1" x14ac:dyDescent="0.35">
      <c r="A3" s="6" t="s">
        <v>17</v>
      </c>
    </row>
    <row r="4" spans="1:36" ht="15.5" customHeight="1" x14ac:dyDescent="0.35">
      <c r="A4" s="8" t="s">
        <v>10</v>
      </c>
      <c r="B4" s="18" t="s">
        <v>21</v>
      </c>
      <c r="C4" s="19">
        <v>30</v>
      </c>
      <c r="D4" s="20">
        <v>175</v>
      </c>
      <c r="E4" s="16">
        <f>D4*C4</f>
        <v>5250</v>
      </c>
      <c r="F4" s="31">
        <v>46071</v>
      </c>
      <c r="G4" s="16">
        <f>IF(F4&lt;=Start,E4,0)</f>
        <v>0</v>
      </c>
      <c r="H4" s="16">
        <f>IF($F4=H$2,$E4,0)</f>
        <v>0</v>
      </c>
      <c r="I4" s="16">
        <f t="shared" ref="I4:S19" si="2">IF($F4=I$2,$E4,0)</f>
        <v>5250</v>
      </c>
      <c r="J4" s="16">
        <f t="shared" si="2"/>
        <v>0</v>
      </c>
      <c r="K4" s="16">
        <f t="shared" si="2"/>
        <v>0</v>
      </c>
      <c r="L4" s="16">
        <f t="shared" si="2"/>
        <v>0</v>
      </c>
      <c r="M4" s="16">
        <f t="shared" si="2"/>
        <v>0</v>
      </c>
      <c r="N4" s="16">
        <f t="shared" si="2"/>
        <v>0</v>
      </c>
      <c r="O4" s="16">
        <f t="shared" si="2"/>
        <v>0</v>
      </c>
      <c r="P4" s="16">
        <f t="shared" si="2"/>
        <v>0</v>
      </c>
      <c r="Q4" s="16">
        <f t="shared" si="2"/>
        <v>0</v>
      </c>
      <c r="R4" s="16">
        <f t="shared" si="2"/>
        <v>0</v>
      </c>
      <c r="S4" s="16">
        <f t="shared" si="2"/>
        <v>0</v>
      </c>
      <c r="U4" s="35">
        <f>VLOOKUP(A4,AssetLife,2,0)*12</f>
        <v>72</v>
      </c>
      <c r="V4" s="4">
        <f>IF(F4=0,"",EDATE(F4,U4))</f>
        <v>48262</v>
      </c>
      <c r="W4" s="52">
        <f>YEARFRAC(Start,F4)*12</f>
        <v>1</v>
      </c>
      <c r="X4" s="16">
        <f>(G4/U4)*W4</f>
        <v>0</v>
      </c>
      <c r="Y4" s="16">
        <f>IFERROR(IF(Y$2&gt;$F4,$E4/$U4,0),0)</f>
        <v>0</v>
      </c>
      <c r="Z4" s="16">
        <f t="shared" ref="Z4:AJ19" si="3">IFERROR(IF(Z$2&gt;$F4,$E4/$U4,0),0)</f>
        <v>0</v>
      </c>
      <c r="AA4" s="16">
        <f t="shared" si="3"/>
        <v>72.916666666666671</v>
      </c>
      <c r="AB4" s="16">
        <f t="shared" si="3"/>
        <v>72.916666666666671</v>
      </c>
      <c r="AC4" s="16">
        <f t="shared" si="3"/>
        <v>72.916666666666671</v>
      </c>
      <c r="AD4" s="16">
        <f t="shared" si="3"/>
        <v>72.916666666666671</v>
      </c>
      <c r="AE4" s="16">
        <f t="shared" si="3"/>
        <v>72.916666666666671</v>
      </c>
      <c r="AF4" s="16">
        <f t="shared" si="3"/>
        <v>72.916666666666671</v>
      </c>
      <c r="AG4" s="16">
        <f t="shared" si="3"/>
        <v>72.916666666666671</v>
      </c>
      <c r="AH4" s="16">
        <f t="shared" si="3"/>
        <v>72.916666666666671</v>
      </c>
      <c r="AI4" s="16">
        <f t="shared" si="3"/>
        <v>72.916666666666671</v>
      </c>
      <c r="AJ4" s="16">
        <f t="shared" si="3"/>
        <v>72.916666666666671</v>
      </c>
    </row>
    <row r="5" spans="1:36" ht="15.5" customHeight="1" x14ac:dyDescent="0.35">
      <c r="A5" s="8" t="s">
        <v>4</v>
      </c>
      <c r="B5" s="18" t="s">
        <v>22</v>
      </c>
      <c r="C5" s="19">
        <v>12</v>
      </c>
      <c r="D5" s="20">
        <v>2500</v>
      </c>
      <c r="E5" s="16">
        <f t="shared" ref="E5:E10" si="4">D5*C5</f>
        <v>30000</v>
      </c>
      <c r="F5" s="31">
        <v>46071</v>
      </c>
      <c r="G5" s="16">
        <f>IF(F5&lt;=Start,E5,0)</f>
        <v>0</v>
      </c>
      <c r="H5" s="16">
        <f t="shared" ref="H5:S25" si="5">IF($F5=H$2,$E5,0)</f>
        <v>0</v>
      </c>
      <c r="I5" s="16">
        <f t="shared" si="2"/>
        <v>30000</v>
      </c>
      <c r="J5" s="16">
        <f t="shared" si="2"/>
        <v>0</v>
      </c>
      <c r="K5" s="16">
        <f t="shared" si="2"/>
        <v>0</v>
      </c>
      <c r="L5" s="16">
        <f t="shared" si="2"/>
        <v>0</v>
      </c>
      <c r="M5" s="16">
        <f t="shared" si="2"/>
        <v>0</v>
      </c>
      <c r="N5" s="16">
        <f t="shared" si="2"/>
        <v>0</v>
      </c>
      <c r="O5" s="16">
        <f t="shared" si="2"/>
        <v>0</v>
      </c>
      <c r="P5" s="16">
        <f t="shared" si="2"/>
        <v>0</v>
      </c>
      <c r="Q5" s="16">
        <f t="shared" si="2"/>
        <v>0</v>
      </c>
      <c r="R5" s="16">
        <f t="shared" si="2"/>
        <v>0</v>
      </c>
      <c r="S5" s="16">
        <f t="shared" si="2"/>
        <v>0</v>
      </c>
      <c r="U5" s="32">
        <f>VLOOKUP(A5,AssetLife,2,0)*12</f>
        <v>48</v>
      </c>
      <c r="V5" s="4">
        <f t="shared" ref="V5:V25" si="6">IF(F5=0,"",EDATE(F5,U5))</f>
        <v>47532</v>
      </c>
      <c r="W5" s="52">
        <f>YEARFRAC(Start,F5)*12</f>
        <v>1</v>
      </c>
      <c r="X5" s="16">
        <f t="shared" ref="X5:X10" si="7">(G5/U5)*W5</f>
        <v>0</v>
      </c>
      <c r="Y5" s="16">
        <f t="shared" ref="Y5:AJ25" si="8">IFERROR(IF(Y$2&gt;$F5,$E5/$U5,0),0)</f>
        <v>0</v>
      </c>
      <c r="Z5" s="16">
        <f t="shared" si="3"/>
        <v>0</v>
      </c>
      <c r="AA5" s="16">
        <f t="shared" si="3"/>
        <v>625</v>
      </c>
      <c r="AB5" s="16">
        <f t="shared" si="3"/>
        <v>625</v>
      </c>
      <c r="AC5" s="16">
        <f t="shared" si="3"/>
        <v>625</v>
      </c>
      <c r="AD5" s="16">
        <f t="shared" si="3"/>
        <v>625</v>
      </c>
      <c r="AE5" s="16">
        <f t="shared" si="3"/>
        <v>625</v>
      </c>
      <c r="AF5" s="16">
        <f t="shared" si="3"/>
        <v>625</v>
      </c>
      <c r="AG5" s="16">
        <f t="shared" si="3"/>
        <v>625</v>
      </c>
      <c r="AH5" s="16">
        <f t="shared" si="3"/>
        <v>625</v>
      </c>
      <c r="AI5" s="16">
        <f t="shared" si="3"/>
        <v>625</v>
      </c>
      <c r="AJ5" s="16">
        <f t="shared" si="3"/>
        <v>625</v>
      </c>
    </row>
    <row r="6" spans="1:36" ht="15.5" customHeight="1" x14ac:dyDescent="0.35">
      <c r="A6" s="8" t="s">
        <v>4</v>
      </c>
      <c r="B6" s="18" t="s">
        <v>23</v>
      </c>
      <c r="C6" s="19">
        <v>11</v>
      </c>
      <c r="D6" s="20">
        <v>1200</v>
      </c>
      <c r="E6" s="16">
        <f t="shared" si="4"/>
        <v>13200</v>
      </c>
      <c r="F6" s="31">
        <v>46180</v>
      </c>
      <c r="G6" s="16">
        <f>IF(F6&lt;=Start,E6,0)</f>
        <v>0</v>
      </c>
      <c r="H6" s="16">
        <f t="shared" si="5"/>
        <v>0</v>
      </c>
      <c r="I6" s="16">
        <f t="shared" si="2"/>
        <v>0</v>
      </c>
      <c r="J6" s="16">
        <f t="shared" si="2"/>
        <v>0</v>
      </c>
      <c r="K6" s="16">
        <f t="shared" si="2"/>
        <v>0</v>
      </c>
      <c r="L6" s="16">
        <f t="shared" si="2"/>
        <v>0</v>
      </c>
      <c r="M6" s="16">
        <f t="shared" si="2"/>
        <v>0</v>
      </c>
      <c r="N6" s="16">
        <f t="shared" si="2"/>
        <v>0</v>
      </c>
      <c r="O6" s="16">
        <f t="shared" si="2"/>
        <v>0</v>
      </c>
      <c r="P6" s="16">
        <f t="shared" si="2"/>
        <v>0</v>
      </c>
      <c r="Q6" s="16">
        <f t="shared" si="2"/>
        <v>0</v>
      </c>
      <c r="R6" s="16">
        <f t="shared" si="2"/>
        <v>0</v>
      </c>
      <c r="S6" s="16">
        <f t="shared" si="2"/>
        <v>0</v>
      </c>
      <c r="U6" s="32">
        <f>VLOOKUP(A6,AssetLife,2,0)*12</f>
        <v>48</v>
      </c>
      <c r="V6" s="4">
        <f t="shared" si="6"/>
        <v>47641</v>
      </c>
      <c r="W6" s="52">
        <f>YEARFRAC(Start,F6)*12</f>
        <v>4.6333333333333337</v>
      </c>
      <c r="X6" s="16">
        <f t="shared" si="7"/>
        <v>0</v>
      </c>
      <c r="Y6" s="16">
        <f t="shared" si="8"/>
        <v>0</v>
      </c>
      <c r="Z6" s="16">
        <f t="shared" si="3"/>
        <v>0</v>
      </c>
      <c r="AA6" s="16">
        <f t="shared" si="3"/>
        <v>0</v>
      </c>
      <c r="AB6" s="16">
        <f t="shared" si="3"/>
        <v>0</v>
      </c>
      <c r="AC6" s="16">
        <f t="shared" si="3"/>
        <v>0</v>
      </c>
      <c r="AD6" s="16">
        <f t="shared" si="3"/>
        <v>275</v>
      </c>
      <c r="AE6" s="16">
        <f t="shared" si="3"/>
        <v>275</v>
      </c>
      <c r="AF6" s="16">
        <f t="shared" si="3"/>
        <v>275</v>
      </c>
      <c r="AG6" s="16">
        <f t="shared" si="3"/>
        <v>275</v>
      </c>
      <c r="AH6" s="16">
        <f t="shared" si="3"/>
        <v>275</v>
      </c>
      <c r="AI6" s="16">
        <f t="shared" si="3"/>
        <v>275</v>
      </c>
      <c r="AJ6" s="16">
        <f t="shared" si="3"/>
        <v>275</v>
      </c>
    </row>
    <row r="7" spans="1:36" ht="15.5" customHeight="1" x14ac:dyDescent="0.35">
      <c r="A7" s="8" t="s">
        <v>18</v>
      </c>
      <c r="B7" s="18" t="s">
        <v>24</v>
      </c>
      <c r="C7" s="19">
        <v>25</v>
      </c>
      <c r="D7" s="20">
        <v>450</v>
      </c>
      <c r="E7" s="16">
        <f t="shared" si="4"/>
        <v>11250</v>
      </c>
      <c r="F7" s="31">
        <v>46119</v>
      </c>
      <c r="G7" s="16">
        <f>IF(F7&lt;=Start,E7,0)</f>
        <v>0</v>
      </c>
      <c r="H7" s="16">
        <f t="shared" si="5"/>
        <v>0</v>
      </c>
      <c r="I7" s="16">
        <f t="shared" si="2"/>
        <v>0</v>
      </c>
      <c r="J7" s="16">
        <f t="shared" si="2"/>
        <v>0</v>
      </c>
      <c r="K7" s="16">
        <f t="shared" si="2"/>
        <v>0</v>
      </c>
      <c r="L7" s="16">
        <f t="shared" si="2"/>
        <v>0</v>
      </c>
      <c r="M7" s="16">
        <f t="shared" si="2"/>
        <v>0</v>
      </c>
      <c r="N7" s="16">
        <f t="shared" si="2"/>
        <v>0</v>
      </c>
      <c r="O7" s="16">
        <f t="shared" si="2"/>
        <v>0</v>
      </c>
      <c r="P7" s="16">
        <f t="shared" si="2"/>
        <v>0</v>
      </c>
      <c r="Q7" s="16">
        <f t="shared" si="2"/>
        <v>0</v>
      </c>
      <c r="R7" s="16">
        <f t="shared" si="2"/>
        <v>0</v>
      </c>
      <c r="S7" s="16">
        <f t="shared" si="2"/>
        <v>0</v>
      </c>
      <c r="U7" s="32">
        <f>VLOOKUP(A7,AssetLife,2,0)*12</f>
        <v>48</v>
      </c>
      <c r="V7" s="4">
        <f t="shared" si="6"/>
        <v>47580</v>
      </c>
      <c r="W7" s="52">
        <f>YEARFRAC(Start,F7)*12</f>
        <v>2.6333333333333333</v>
      </c>
      <c r="X7" s="16">
        <f t="shared" si="7"/>
        <v>0</v>
      </c>
      <c r="Y7" s="16">
        <f t="shared" si="8"/>
        <v>0</v>
      </c>
      <c r="Z7" s="16">
        <f t="shared" si="3"/>
        <v>0</v>
      </c>
      <c r="AA7" s="16">
        <f t="shared" si="3"/>
        <v>0</v>
      </c>
      <c r="AB7" s="16">
        <f t="shared" si="3"/>
        <v>234.375</v>
      </c>
      <c r="AC7" s="16">
        <f t="shared" si="3"/>
        <v>234.375</v>
      </c>
      <c r="AD7" s="16">
        <f t="shared" si="3"/>
        <v>234.375</v>
      </c>
      <c r="AE7" s="16">
        <f t="shared" si="3"/>
        <v>234.375</v>
      </c>
      <c r="AF7" s="16">
        <f t="shared" si="3"/>
        <v>234.375</v>
      </c>
      <c r="AG7" s="16">
        <f t="shared" si="3"/>
        <v>234.375</v>
      </c>
      <c r="AH7" s="16">
        <f t="shared" si="3"/>
        <v>234.375</v>
      </c>
      <c r="AI7" s="16">
        <f t="shared" si="3"/>
        <v>234.375</v>
      </c>
      <c r="AJ7" s="16">
        <f t="shared" si="3"/>
        <v>234.375</v>
      </c>
    </row>
    <row r="8" spans="1:36" ht="15.5" customHeight="1" x14ac:dyDescent="0.35">
      <c r="A8" s="8" t="s">
        <v>18</v>
      </c>
      <c r="B8" s="18" t="s">
        <v>25</v>
      </c>
      <c r="C8" s="19">
        <v>9</v>
      </c>
      <c r="D8" s="20">
        <v>800</v>
      </c>
      <c r="E8" s="16">
        <f t="shared" si="4"/>
        <v>7200</v>
      </c>
      <c r="F8" s="31">
        <v>46149</v>
      </c>
      <c r="G8" s="16">
        <f>IF(F8&lt;=Start,E8,0)</f>
        <v>0</v>
      </c>
      <c r="H8" s="16">
        <f t="shared" si="5"/>
        <v>0</v>
      </c>
      <c r="I8" s="16">
        <f t="shared" si="2"/>
        <v>0</v>
      </c>
      <c r="J8" s="16">
        <f t="shared" si="2"/>
        <v>0</v>
      </c>
      <c r="K8" s="16">
        <f t="shared" si="2"/>
        <v>0</v>
      </c>
      <c r="L8" s="16">
        <f t="shared" si="2"/>
        <v>0</v>
      </c>
      <c r="M8" s="16">
        <f t="shared" si="2"/>
        <v>0</v>
      </c>
      <c r="N8" s="16">
        <f t="shared" si="2"/>
        <v>0</v>
      </c>
      <c r="O8" s="16">
        <f t="shared" si="2"/>
        <v>0</v>
      </c>
      <c r="P8" s="16">
        <f t="shared" si="2"/>
        <v>0</v>
      </c>
      <c r="Q8" s="16">
        <f t="shared" si="2"/>
        <v>0</v>
      </c>
      <c r="R8" s="16">
        <f t="shared" si="2"/>
        <v>0</v>
      </c>
      <c r="S8" s="16">
        <f t="shared" si="2"/>
        <v>0</v>
      </c>
      <c r="U8" s="32">
        <f>VLOOKUP(A8,AssetLife,2,0)*12</f>
        <v>48</v>
      </c>
      <c r="V8" s="4">
        <f t="shared" si="6"/>
        <v>47610</v>
      </c>
      <c r="W8" s="52">
        <f>YEARFRAC(Start,F8)*12</f>
        <v>3.6333333333333329</v>
      </c>
      <c r="X8" s="16">
        <f t="shared" si="7"/>
        <v>0</v>
      </c>
      <c r="Y8" s="16">
        <f t="shared" si="8"/>
        <v>0</v>
      </c>
      <c r="Z8" s="16">
        <f t="shared" si="3"/>
        <v>0</v>
      </c>
      <c r="AA8" s="16">
        <f t="shared" si="3"/>
        <v>0</v>
      </c>
      <c r="AB8" s="16">
        <f t="shared" si="3"/>
        <v>0</v>
      </c>
      <c r="AC8" s="16">
        <f t="shared" si="3"/>
        <v>150</v>
      </c>
      <c r="AD8" s="16">
        <f t="shared" si="3"/>
        <v>150</v>
      </c>
      <c r="AE8" s="16">
        <f t="shared" si="3"/>
        <v>150</v>
      </c>
      <c r="AF8" s="16">
        <f t="shared" si="3"/>
        <v>150</v>
      </c>
      <c r="AG8" s="16">
        <f t="shared" si="3"/>
        <v>150</v>
      </c>
      <c r="AH8" s="16">
        <f t="shared" si="3"/>
        <v>150</v>
      </c>
      <c r="AI8" s="16">
        <f t="shared" si="3"/>
        <v>150</v>
      </c>
      <c r="AJ8" s="16">
        <f t="shared" si="3"/>
        <v>150</v>
      </c>
    </row>
    <row r="9" spans="1:36" ht="15.5" customHeight="1" x14ac:dyDescent="0.35">
      <c r="A9" s="8" t="s">
        <v>4</v>
      </c>
      <c r="B9" s="18" t="s">
        <v>26</v>
      </c>
      <c r="C9" s="19">
        <v>2</v>
      </c>
      <c r="D9" s="20">
        <v>450</v>
      </c>
      <c r="E9" s="16">
        <f t="shared" si="4"/>
        <v>900</v>
      </c>
      <c r="F9" s="31">
        <v>46180</v>
      </c>
      <c r="G9" s="16">
        <f>IF(F9&lt;=Start,E9,0)</f>
        <v>0</v>
      </c>
      <c r="H9" s="16">
        <f t="shared" si="5"/>
        <v>0</v>
      </c>
      <c r="I9" s="16">
        <f t="shared" si="2"/>
        <v>0</v>
      </c>
      <c r="J9" s="16">
        <f t="shared" si="2"/>
        <v>0</v>
      </c>
      <c r="K9" s="16">
        <f t="shared" si="2"/>
        <v>0</v>
      </c>
      <c r="L9" s="16">
        <f t="shared" si="2"/>
        <v>0</v>
      </c>
      <c r="M9" s="16">
        <f t="shared" si="2"/>
        <v>0</v>
      </c>
      <c r="N9" s="16">
        <f t="shared" si="2"/>
        <v>0</v>
      </c>
      <c r="O9" s="16">
        <f t="shared" si="2"/>
        <v>0</v>
      </c>
      <c r="P9" s="16">
        <f t="shared" si="2"/>
        <v>0</v>
      </c>
      <c r="Q9" s="16">
        <f t="shared" si="2"/>
        <v>0</v>
      </c>
      <c r="R9" s="16">
        <f t="shared" si="2"/>
        <v>0</v>
      </c>
      <c r="S9" s="16">
        <f t="shared" si="2"/>
        <v>0</v>
      </c>
      <c r="U9" s="32">
        <f>VLOOKUP(A9,AssetLife,2,0)*12</f>
        <v>48</v>
      </c>
      <c r="V9" s="4">
        <f t="shared" si="6"/>
        <v>47641</v>
      </c>
      <c r="W9" s="52">
        <f>YEARFRAC(Start,F9)*12</f>
        <v>4.6333333333333337</v>
      </c>
      <c r="X9" s="16">
        <f t="shared" si="7"/>
        <v>0</v>
      </c>
      <c r="Y9" s="16">
        <f t="shared" si="8"/>
        <v>0</v>
      </c>
      <c r="Z9" s="16">
        <f t="shared" si="3"/>
        <v>0</v>
      </c>
      <c r="AA9" s="16">
        <f t="shared" si="3"/>
        <v>0</v>
      </c>
      <c r="AB9" s="16">
        <f t="shared" si="3"/>
        <v>0</v>
      </c>
      <c r="AC9" s="16">
        <f t="shared" si="3"/>
        <v>0</v>
      </c>
      <c r="AD9" s="16">
        <f t="shared" si="3"/>
        <v>18.75</v>
      </c>
      <c r="AE9" s="16">
        <f t="shared" si="3"/>
        <v>18.75</v>
      </c>
      <c r="AF9" s="16">
        <f t="shared" si="3"/>
        <v>18.75</v>
      </c>
      <c r="AG9" s="16">
        <f t="shared" si="3"/>
        <v>18.75</v>
      </c>
      <c r="AH9" s="16">
        <f t="shared" si="3"/>
        <v>18.75</v>
      </c>
      <c r="AI9" s="16">
        <f t="shared" si="3"/>
        <v>18.75</v>
      </c>
      <c r="AJ9" s="16">
        <f t="shared" si="3"/>
        <v>18.75</v>
      </c>
    </row>
    <row r="10" spans="1:36" ht="15.5" customHeight="1" x14ac:dyDescent="0.35">
      <c r="A10" s="8" t="s">
        <v>5</v>
      </c>
      <c r="B10" s="21" t="s">
        <v>27</v>
      </c>
      <c r="C10" s="22">
        <v>10</v>
      </c>
      <c r="D10" s="23">
        <v>15</v>
      </c>
      <c r="E10" s="16">
        <f t="shared" si="4"/>
        <v>150</v>
      </c>
      <c r="F10" s="31">
        <v>46099</v>
      </c>
      <c r="G10" s="16">
        <f>IF(F10&lt;=Start,E10,0)</f>
        <v>0</v>
      </c>
      <c r="H10" s="16">
        <f t="shared" si="5"/>
        <v>0</v>
      </c>
      <c r="I10" s="16">
        <f t="shared" si="2"/>
        <v>0</v>
      </c>
      <c r="J10" s="16">
        <f t="shared" si="2"/>
        <v>150</v>
      </c>
      <c r="K10" s="16">
        <f t="shared" si="2"/>
        <v>0</v>
      </c>
      <c r="L10" s="16">
        <f t="shared" si="2"/>
        <v>0</v>
      </c>
      <c r="M10" s="16">
        <f t="shared" si="2"/>
        <v>0</v>
      </c>
      <c r="N10" s="16">
        <f t="shared" si="2"/>
        <v>0</v>
      </c>
      <c r="O10" s="16">
        <f t="shared" si="2"/>
        <v>0</v>
      </c>
      <c r="P10" s="16">
        <f t="shared" si="2"/>
        <v>0</v>
      </c>
      <c r="Q10" s="16">
        <f t="shared" si="2"/>
        <v>0</v>
      </c>
      <c r="R10" s="16">
        <f t="shared" si="2"/>
        <v>0</v>
      </c>
      <c r="S10" s="16">
        <f t="shared" si="2"/>
        <v>0</v>
      </c>
      <c r="U10" s="32">
        <f>VLOOKUP(A10,AssetLife,2,0)*12</f>
        <v>12</v>
      </c>
      <c r="V10" s="4">
        <f t="shared" si="6"/>
        <v>46464</v>
      </c>
      <c r="W10" s="52">
        <f>YEARFRAC(Start,F10)*12</f>
        <v>2</v>
      </c>
      <c r="X10" s="16">
        <f t="shared" si="7"/>
        <v>0</v>
      </c>
      <c r="Y10" s="16">
        <f t="shared" si="8"/>
        <v>0</v>
      </c>
      <c r="Z10" s="16">
        <f t="shared" si="3"/>
        <v>0</v>
      </c>
      <c r="AA10" s="16">
        <f t="shared" si="3"/>
        <v>0</v>
      </c>
      <c r="AB10" s="16">
        <f t="shared" si="3"/>
        <v>12.5</v>
      </c>
      <c r="AC10" s="16">
        <f t="shared" si="3"/>
        <v>12.5</v>
      </c>
      <c r="AD10" s="16">
        <f t="shared" si="3"/>
        <v>12.5</v>
      </c>
      <c r="AE10" s="16">
        <f t="shared" si="3"/>
        <v>12.5</v>
      </c>
      <c r="AF10" s="16">
        <f t="shared" si="3"/>
        <v>12.5</v>
      </c>
      <c r="AG10" s="16">
        <f t="shared" si="3"/>
        <v>12.5</v>
      </c>
      <c r="AH10" s="16">
        <f t="shared" si="3"/>
        <v>12.5</v>
      </c>
      <c r="AI10" s="16">
        <f t="shared" si="3"/>
        <v>12.5</v>
      </c>
      <c r="AJ10" s="16">
        <f t="shared" si="3"/>
        <v>12.5</v>
      </c>
    </row>
    <row r="11" spans="1:36" ht="15.5" customHeight="1" x14ac:dyDescent="0.35">
      <c r="A11" s="9"/>
      <c r="B11" s="27"/>
      <c r="C11" s="28"/>
      <c r="D11" s="28"/>
      <c r="E11" s="29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U11" s="32"/>
      <c r="V11" s="4" t="str">
        <f t="shared" si="6"/>
        <v/>
      </c>
      <c r="W11" s="33"/>
      <c r="X11" s="33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</row>
    <row r="12" spans="1:36" s="40" customFormat="1" ht="14.5" customHeight="1" x14ac:dyDescent="0.35">
      <c r="A12" s="36" t="str">
        <f>"Budgeted Spend "&amp;YEAR(Start)</f>
        <v>Budgeted Spend 2026</v>
      </c>
      <c r="B12" s="37"/>
      <c r="C12" s="38"/>
      <c r="D12" s="38"/>
      <c r="E12" s="38"/>
      <c r="F12" s="39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U12" s="42"/>
      <c r="V12" s="43" t="str">
        <f t="shared" si="6"/>
        <v/>
      </c>
      <c r="W12" s="33"/>
      <c r="X12" s="44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</row>
    <row r="13" spans="1:36" ht="15.5" customHeight="1" x14ac:dyDescent="0.35">
      <c r="A13" s="8" t="s">
        <v>4</v>
      </c>
      <c r="B13" s="24" t="s">
        <v>28</v>
      </c>
      <c r="C13" s="25">
        <v>1</v>
      </c>
      <c r="D13" s="26">
        <v>6500</v>
      </c>
      <c r="E13" s="16">
        <f>C13*D13</f>
        <v>6500</v>
      </c>
      <c r="F13" s="31">
        <v>46241</v>
      </c>
      <c r="H13" s="16">
        <f t="shared" si="5"/>
        <v>0</v>
      </c>
      <c r="I13" s="16">
        <f t="shared" si="2"/>
        <v>0</v>
      </c>
      <c r="J13" s="16">
        <f t="shared" si="2"/>
        <v>0</v>
      </c>
      <c r="K13" s="16">
        <f t="shared" si="2"/>
        <v>0</v>
      </c>
      <c r="L13" s="16">
        <f t="shared" si="2"/>
        <v>0</v>
      </c>
      <c r="M13" s="16">
        <f t="shared" si="2"/>
        <v>0</v>
      </c>
      <c r="N13" s="16">
        <f t="shared" si="2"/>
        <v>0</v>
      </c>
      <c r="O13" s="16">
        <f t="shared" si="2"/>
        <v>0</v>
      </c>
      <c r="P13" s="16">
        <f t="shared" si="2"/>
        <v>0</v>
      </c>
      <c r="Q13" s="16">
        <f t="shared" si="2"/>
        <v>0</v>
      </c>
      <c r="R13" s="16">
        <f t="shared" si="2"/>
        <v>0</v>
      </c>
      <c r="S13" s="16">
        <f t="shared" si="2"/>
        <v>0</v>
      </c>
      <c r="U13" s="32">
        <f>VLOOKUP(A13,AssetLife,2,0)*12</f>
        <v>48</v>
      </c>
      <c r="V13" s="4">
        <f t="shared" si="6"/>
        <v>47702</v>
      </c>
      <c r="W13" s="33">
        <f>IFERROR(DATEDIF(F13,Start,"m"),0)</f>
        <v>0</v>
      </c>
      <c r="X13" s="33"/>
      <c r="Y13" s="16">
        <f t="shared" si="8"/>
        <v>0</v>
      </c>
      <c r="Z13" s="16">
        <f t="shared" si="3"/>
        <v>0</v>
      </c>
      <c r="AA13" s="16">
        <f t="shared" si="3"/>
        <v>0</v>
      </c>
      <c r="AB13" s="16">
        <f t="shared" si="3"/>
        <v>0</v>
      </c>
      <c r="AC13" s="16">
        <f t="shared" si="3"/>
        <v>0</v>
      </c>
      <c r="AD13" s="16">
        <f t="shared" si="3"/>
        <v>0</v>
      </c>
      <c r="AE13" s="16">
        <f t="shared" si="3"/>
        <v>0</v>
      </c>
      <c r="AF13" s="16">
        <f t="shared" si="3"/>
        <v>135.41666666666666</v>
      </c>
      <c r="AG13" s="16">
        <f t="shared" si="3"/>
        <v>135.41666666666666</v>
      </c>
      <c r="AH13" s="16">
        <f t="shared" si="3"/>
        <v>135.41666666666666</v>
      </c>
      <c r="AI13" s="16">
        <f t="shared" si="3"/>
        <v>135.41666666666666</v>
      </c>
      <c r="AJ13" s="16">
        <f t="shared" si="3"/>
        <v>135.41666666666666</v>
      </c>
    </row>
    <row r="14" spans="1:36" ht="15.5" customHeight="1" x14ac:dyDescent="0.35">
      <c r="A14" s="8" t="s">
        <v>4</v>
      </c>
      <c r="B14" s="18" t="s">
        <v>29</v>
      </c>
      <c r="C14" s="19">
        <v>3</v>
      </c>
      <c r="D14" s="20">
        <v>50</v>
      </c>
      <c r="E14" s="16">
        <f t="shared" ref="E14:E25" si="9">C14*D14</f>
        <v>150</v>
      </c>
      <c r="F14" s="31">
        <v>46272</v>
      </c>
      <c r="H14" s="16">
        <f t="shared" si="5"/>
        <v>0</v>
      </c>
      <c r="I14" s="16">
        <f t="shared" si="2"/>
        <v>0</v>
      </c>
      <c r="J14" s="16">
        <f t="shared" si="2"/>
        <v>0</v>
      </c>
      <c r="K14" s="16">
        <f t="shared" si="2"/>
        <v>0</v>
      </c>
      <c r="L14" s="16">
        <f t="shared" si="2"/>
        <v>0</v>
      </c>
      <c r="M14" s="16">
        <f t="shared" si="2"/>
        <v>0</v>
      </c>
      <c r="N14" s="16">
        <f t="shared" si="2"/>
        <v>0</v>
      </c>
      <c r="O14" s="16">
        <f t="shared" si="2"/>
        <v>0</v>
      </c>
      <c r="P14" s="16">
        <f t="shared" si="2"/>
        <v>0</v>
      </c>
      <c r="Q14" s="16">
        <f t="shared" si="2"/>
        <v>0</v>
      </c>
      <c r="R14" s="16">
        <f t="shared" si="2"/>
        <v>0</v>
      </c>
      <c r="S14" s="16">
        <f t="shared" si="2"/>
        <v>0</v>
      </c>
      <c r="U14" s="32">
        <f>VLOOKUP(A14,AssetLife,2,0)*12</f>
        <v>48</v>
      </c>
      <c r="V14" s="4">
        <f t="shared" si="6"/>
        <v>47733</v>
      </c>
      <c r="W14" s="33">
        <f>IFERROR(DATEDIF(F14,Start,"m"),0)</f>
        <v>0</v>
      </c>
      <c r="X14" s="33"/>
      <c r="Y14" s="16">
        <f t="shared" si="8"/>
        <v>0</v>
      </c>
      <c r="Z14" s="16">
        <f t="shared" si="3"/>
        <v>0</v>
      </c>
      <c r="AA14" s="16">
        <f t="shared" si="3"/>
        <v>0</v>
      </c>
      <c r="AB14" s="16">
        <f t="shared" si="3"/>
        <v>0</v>
      </c>
      <c r="AC14" s="16">
        <f t="shared" si="3"/>
        <v>0</v>
      </c>
      <c r="AD14" s="16">
        <f t="shared" si="3"/>
        <v>0</v>
      </c>
      <c r="AE14" s="16">
        <f t="shared" si="3"/>
        <v>0</v>
      </c>
      <c r="AF14" s="16">
        <f t="shared" si="3"/>
        <v>0</v>
      </c>
      <c r="AG14" s="16">
        <f t="shared" si="3"/>
        <v>3.125</v>
      </c>
      <c r="AH14" s="16">
        <f t="shared" si="3"/>
        <v>3.125</v>
      </c>
      <c r="AI14" s="16">
        <f t="shared" si="3"/>
        <v>3.125</v>
      </c>
      <c r="AJ14" s="16">
        <f t="shared" si="3"/>
        <v>3.125</v>
      </c>
    </row>
    <row r="15" spans="1:36" ht="15.5" customHeight="1" x14ac:dyDescent="0.35">
      <c r="A15" s="8" t="s">
        <v>4</v>
      </c>
      <c r="B15" s="18" t="s">
        <v>30</v>
      </c>
      <c r="C15" s="19">
        <v>25</v>
      </c>
      <c r="D15" s="20">
        <v>900</v>
      </c>
      <c r="E15" s="16">
        <f t="shared" si="9"/>
        <v>22500</v>
      </c>
      <c r="F15" s="31">
        <v>46302</v>
      </c>
      <c r="H15" s="16">
        <f t="shared" si="5"/>
        <v>0</v>
      </c>
      <c r="I15" s="16">
        <f t="shared" si="2"/>
        <v>0</v>
      </c>
      <c r="J15" s="16">
        <f t="shared" si="2"/>
        <v>0</v>
      </c>
      <c r="K15" s="16">
        <f t="shared" si="2"/>
        <v>0</v>
      </c>
      <c r="L15" s="16">
        <f t="shared" si="2"/>
        <v>0</v>
      </c>
      <c r="M15" s="16">
        <f t="shared" si="2"/>
        <v>0</v>
      </c>
      <c r="N15" s="16">
        <f t="shared" si="2"/>
        <v>0</v>
      </c>
      <c r="O15" s="16">
        <f t="shared" si="2"/>
        <v>0</v>
      </c>
      <c r="P15" s="16">
        <f t="shared" si="2"/>
        <v>0</v>
      </c>
      <c r="Q15" s="16">
        <f t="shared" si="2"/>
        <v>0</v>
      </c>
      <c r="R15" s="16">
        <f t="shared" si="2"/>
        <v>0</v>
      </c>
      <c r="S15" s="16">
        <f t="shared" si="2"/>
        <v>0</v>
      </c>
      <c r="U15" s="32">
        <f>VLOOKUP(A15,AssetLife,2,0)*12</f>
        <v>48</v>
      </c>
      <c r="V15" s="4">
        <f t="shared" si="6"/>
        <v>47763</v>
      </c>
      <c r="W15" s="33">
        <f>IFERROR(DATEDIF(F15,Start,"m"),0)</f>
        <v>0</v>
      </c>
      <c r="X15" s="33"/>
      <c r="Y15" s="16">
        <f t="shared" si="8"/>
        <v>0</v>
      </c>
      <c r="Z15" s="16">
        <f t="shared" si="3"/>
        <v>0</v>
      </c>
      <c r="AA15" s="16">
        <f t="shared" si="3"/>
        <v>0</v>
      </c>
      <c r="AB15" s="16">
        <f t="shared" si="3"/>
        <v>0</v>
      </c>
      <c r="AC15" s="16">
        <f t="shared" si="3"/>
        <v>0</v>
      </c>
      <c r="AD15" s="16">
        <f t="shared" si="3"/>
        <v>0</v>
      </c>
      <c r="AE15" s="16">
        <f t="shared" si="3"/>
        <v>0</v>
      </c>
      <c r="AF15" s="16">
        <f t="shared" si="3"/>
        <v>0</v>
      </c>
      <c r="AG15" s="16">
        <f t="shared" si="3"/>
        <v>0</v>
      </c>
      <c r="AH15" s="16">
        <f t="shared" si="3"/>
        <v>468.75</v>
      </c>
      <c r="AI15" s="16">
        <f t="shared" si="3"/>
        <v>468.75</v>
      </c>
      <c r="AJ15" s="16">
        <f t="shared" si="3"/>
        <v>468.75</v>
      </c>
    </row>
    <row r="16" spans="1:36" ht="15.5" customHeight="1" x14ac:dyDescent="0.35">
      <c r="A16" s="8" t="s">
        <v>4</v>
      </c>
      <c r="B16" s="18" t="s">
        <v>31</v>
      </c>
      <c r="C16" s="19">
        <v>1</v>
      </c>
      <c r="D16" s="20">
        <v>5000</v>
      </c>
      <c r="E16" s="16">
        <f t="shared" si="9"/>
        <v>5000</v>
      </c>
      <c r="F16" s="31">
        <v>46333</v>
      </c>
      <c r="H16" s="16">
        <f t="shared" si="5"/>
        <v>0</v>
      </c>
      <c r="I16" s="16">
        <f t="shared" si="2"/>
        <v>0</v>
      </c>
      <c r="J16" s="16">
        <f t="shared" si="2"/>
        <v>0</v>
      </c>
      <c r="K16" s="16">
        <f t="shared" si="2"/>
        <v>0</v>
      </c>
      <c r="L16" s="16">
        <f t="shared" si="2"/>
        <v>0</v>
      </c>
      <c r="M16" s="16">
        <f t="shared" si="2"/>
        <v>0</v>
      </c>
      <c r="N16" s="16">
        <f t="shared" si="2"/>
        <v>0</v>
      </c>
      <c r="O16" s="16">
        <f t="shared" si="2"/>
        <v>0</v>
      </c>
      <c r="P16" s="16">
        <f t="shared" si="2"/>
        <v>0</v>
      </c>
      <c r="Q16" s="16">
        <f t="shared" si="2"/>
        <v>0</v>
      </c>
      <c r="R16" s="16">
        <f t="shared" si="2"/>
        <v>0</v>
      </c>
      <c r="S16" s="16">
        <f t="shared" si="2"/>
        <v>0</v>
      </c>
      <c r="U16" s="32">
        <f>VLOOKUP(A16,AssetLife,2,0)*12</f>
        <v>48</v>
      </c>
      <c r="V16" s="4">
        <f t="shared" si="6"/>
        <v>47794</v>
      </c>
      <c r="W16" s="33">
        <f>IFERROR(DATEDIF(F16,Start,"m"),0)</f>
        <v>0</v>
      </c>
      <c r="X16" s="33"/>
      <c r="Y16" s="16">
        <f t="shared" si="8"/>
        <v>0</v>
      </c>
      <c r="Z16" s="16">
        <f t="shared" si="3"/>
        <v>0</v>
      </c>
      <c r="AA16" s="16">
        <f t="shared" si="3"/>
        <v>0</v>
      </c>
      <c r="AB16" s="16">
        <f t="shared" si="3"/>
        <v>0</v>
      </c>
      <c r="AC16" s="16">
        <f t="shared" si="3"/>
        <v>0</v>
      </c>
      <c r="AD16" s="16">
        <f t="shared" si="3"/>
        <v>0</v>
      </c>
      <c r="AE16" s="16">
        <f t="shared" si="3"/>
        <v>0</v>
      </c>
      <c r="AF16" s="16">
        <f t="shared" si="3"/>
        <v>0</v>
      </c>
      <c r="AG16" s="16">
        <f t="shared" si="3"/>
        <v>0</v>
      </c>
      <c r="AH16" s="16">
        <f t="shared" si="3"/>
        <v>0</v>
      </c>
      <c r="AI16" s="16">
        <f t="shared" si="3"/>
        <v>104.16666666666667</v>
      </c>
      <c r="AJ16" s="16">
        <f t="shared" si="3"/>
        <v>104.16666666666667</v>
      </c>
    </row>
    <row r="17" spans="1:40" ht="15.5" customHeight="1" x14ac:dyDescent="0.35">
      <c r="A17" s="8" t="s">
        <v>10</v>
      </c>
      <c r="B17" s="18" t="s">
        <v>32</v>
      </c>
      <c r="C17" s="19">
        <v>5</v>
      </c>
      <c r="D17" s="20">
        <v>80</v>
      </c>
      <c r="E17" s="16">
        <f t="shared" si="9"/>
        <v>400</v>
      </c>
      <c r="F17" s="31">
        <v>46160</v>
      </c>
      <c r="H17" s="16">
        <f t="shared" si="5"/>
        <v>0</v>
      </c>
      <c r="I17" s="16">
        <f t="shared" si="2"/>
        <v>0</v>
      </c>
      <c r="J17" s="16">
        <f t="shared" si="2"/>
        <v>0</v>
      </c>
      <c r="K17" s="16">
        <f t="shared" si="2"/>
        <v>0</v>
      </c>
      <c r="L17" s="16">
        <f t="shared" si="2"/>
        <v>400</v>
      </c>
      <c r="M17" s="16">
        <f t="shared" si="2"/>
        <v>0</v>
      </c>
      <c r="N17" s="16">
        <f t="shared" si="2"/>
        <v>0</v>
      </c>
      <c r="O17" s="16">
        <f t="shared" si="2"/>
        <v>0</v>
      </c>
      <c r="P17" s="16">
        <f t="shared" si="2"/>
        <v>0</v>
      </c>
      <c r="Q17" s="16">
        <f t="shared" si="2"/>
        <v>0</v>
      </c>
      <c r="R17" s="16">
        <f t="shared" si="2"/>
        <v>0</v>
      </c>
      <c r="S17" s="16">
        <f t="shared" si="2"/>
        <v>0</v>
      </c>
      <c r="U17" s="32">
        <f>VLOOKUP(A17,AssetLife,2,0)*12</f>
        <v>72</v>
      </c>
      <c r="V17" s="4">
        <f t="shared" si="6"/>
        <v>48352</v>
      </c>
      <c r="W17" s="33">
        <f>IFERROR(DATEDIF(F17,Start,"m"),0)</f>
        <v>0</v>
      </c>
      <c r="X17" s="33"/>
      <c r="Y17" s="16">
        <f t="shared" si="8"/>
        <v>0</v>
      </c>
      <c r="Z17" s="16">
        <f t="shared" si="3"/>
        <v>0</v>
      </c>
      <c r="AA17" s="16">
        <f t="shared" si="3"/>
        <v>0</v>
      </c>
      <c r="AB17" s="16">
        <f t="shared" si="3"/>
        <v>0</v>
      </c>
      <c r="AC17" s="16">
        <f t="shared" si="3"/>
        <v>0</v>
      </c>
      <c r="AD17" s="16">
        <f t="shared" si="3"/>
        <v>5.5555555555555554</v>
      </c>
      <c r="AE17" s="16">
        <f t="shared" si="3"/>
        <v>5.5555555555555554</v>
      </c>
      <c r="AF17" s="16">
        <f t="shared" si="3"/>
        <v>5.5555555555555554</v>
      </c>
      <c r="AG17" s="16">
        <f t="shared" si="3"/>
        <v>5.5555555555555554</v>
      </c>
      <c r="AH17" s="16">
        <f t="shared" si="3"/>
        <v>5.5555555555555554</v>
      </c>
      <c r="AI17" s="16">
        <f t="shared" si="3"/>
        <v>5.5555555555555554</v>
      </c>
      <c r="AJ17" s="16">
        <f t="shared" si="3"/>
        <v>5.5555555555555554</v>
      </c>
    </row>
    <row r="18" spans="1:40" ht="15.5" customHeight="1" x14ac:dyDescent="0.35">
      <c r="A18" s="8" t="s">
        <v>5</v>
      </c>
      <c r="B18" s="18" t="s">
        <v>27</v>
      </c>
      <c r="C18" s="19">
        <v>10</v>
      </c>
      <c r="D18" s="20">
        <v>15</v>
      </c>
      <c r="E18" s="16">
        <f t="shared" si="9"/>
        <v>150</v>
      </c>
      <c r="F18" s="31">
        <v>46060</v>
      </c>
      <c r="H18" s="16">
        <f t="shared" si="5"/>
        <v>0</v>
      </c>
      <c r="I18" s="16">
        <f t="shared" si="2"/>
        <v>0</v>
      </c>
      <c r="J18" s="16">
        <f t="shared" si="2"/>
        <v>0</v>
      </c>
      <c r="K18" s="16">
        <f t="shared" si="2"/>
        <v>0</v>
      </c>
      <c r="L18" s="16">
        <f t="shared" si="2"/>
        <v>0</v>
      </c>
      <c r="M18" s="16">
        <f t="shared" si="2"/>
        <v>0</v>
      </c>
      <c r="N18" s="16">
        <f t="shared" si="2"/>
        <v>0</v>
      </c>
      <c r="O18" s="16">
        <f t="shared" si="2"/>
        <v>0</v>
      </c>
      <c r="P18" s="16">
        <f t="shared" si="2"/>
        <v>0</v>
      </c>
      <c r="Q18" s="16">
        <f t="shared" si="2"/>
        <v>0</v>
      </c>
      <c r="R18" s="16">
        <f t="shared" si="2"/>
        <v>0</v>
      </c>
      <c r="S18" s="16">
        <f t="shared" si="2"/>
        <v>0</v>
      </c>
      <c r="U18" s="32">
        <f>VLOOKUP(A18,AssetLife,2,0)*12</f>
        <v>12</v>
      </c>
      <c r="V18" s="4">
        <f t="shared" si="6"/>
        <v>46425</v>
      </c>
      <c r="W18" s="33">
        <f>IFERROR(DATEDIF(F18,Start,"m"),0)</f>
        <v>0</v>
      </c>
      <c r="X18" s="33"/>
      <c r="Y18" s="16">
        <f t="shared" si="8"/>
        <v>0</v>
      </c>
      <c r="Z18" s="16">
        <f t="shared" si="3"/>
        <v>12.5</v>
      </c>
      <c r="AA18" s="16">
        <f t="shared" si="3"/>
        <v>12.5</v>
      </c>
      <c r="AB18" s="16">
        <f t="shared" si="3"/>
        <v>12.5</v>
      </c>
      <c r="AC18" s="16">
        <f t="shared" si="3"/>
        <v>12.5</v>
      </c>
      <c r="AD18" s="16">
        <f t="shared" si="3"/>
        <v>12.5</v>
      </c>
      <c r="AE18" s="16">
        <f t="shared" si="3"/>
        <v>12.5</v>
      </c>
      <c r="AF18" s="16">
        <f t="shared" si="3"/>
        <v>12.5</v>
      </c>
      <c r="AG18" s="16">
        <f t="shared" si="3"/>
        <v>12.5</v>
      </c>
      <c r="AH18" s="16">
        <f t="shared" si="3"/>
        <v>12.5</v>
      </c>
      <c r="AI18" s="16">
        <f t="shared" si="3"/>
        <v>12.5</v>
      </c>
      <c r="AJ18" s="16">
        <f t="shared" si="3"/>
        <v>12.5</v>
      </c>
    </row>
    <row r="19" spans="1:40" ht="15.5" customHeight="1" x14ac:dyDescent="0.35">
      <c r="A19" s="8" t="s">
        <v>5</v>
      </c>
      <c r="B19" s="18" t="s">
        <v>33</v>
      </c>
      <c r="C19" s="19">
        <v>50</v>
      </c>
      <c r="D19" s="20">
        <v>130</v>
      </c>
      <c r="E19" s="16">
        <f t="shared" si="9"/>
        <v>6500</v>
      </c>
      <c r="F19" s="31">
        <v>46088</v>
      </c>
      <c r="H19" s="16">
        <f t="shared" si="5"/>
        <v>0</v>
      </c>
      <c r="I19" s="16">
        <f t="shared" si="2"/>
        <v>0</v>
      </c>
      <c r="J19" s="16">
        <f t="shared" si="2"/>
        <v>0</v>
      </c>
      <c r="K19" s="16">
        <f t="shared" si="2"/>
        <v>0</v>
      </c>
      <c r="L19" s="16">
        <f t="shared" si="2"/>
        <v>0</v>
      </c>
      <c r="M19" s="16">
        <f t="shared" si="2"/>
        <v>0</v>
      </c>
      <c r="N19" s="16">
        <f t="shared" si="2"/>
        <v>0</v>
      </c>
      <c r="O19" s="16">
        <f t="shared" si="2"/>
        <v>0</v>
      </c>
      <c r="P19" s="16">
        <f t="shared" si="2"/>
        <v>0</v>
      </c>
      <c r="Q19" s="16">
        <f t="shared" si="2"/>
        <v>0</v>
      </c>
      <c r="R19" s="16">
        <f t="shared" si="2"/>
        <v>0</v>
      </c>
      <c r="S19" s="16">
        <f t="shared" si="2"/>
        <v>0</v>
      </c>
      <c r="U19" s="32">
        <f>VLOOKUP(A19,AssetLife,2,0)*12</f>
        <v>12</v>
      </c>
      <c r="V19" s="4">
        <f t="shared" si="6"/>
        <v>46453</v>
      </c>
      <c r="W19" s="33">
        <f>IFERROR(DATEDIF(F19,Start,"m"),0)</f>
        <v>0</v>
      </c>
      <c r="X19" s="33"/>
      <c r="Y19" s="16">
        <f t="shared" si="8"/>
        <v>0</v>
      </c>
      <c r="Z19" s="16">
        <f t="shared" si="3"/>
        <v>0</v>
      </c>
      <c r="AA19" s="16">
        <f t="shared" si="3"/>
        <v>541.66666666666663</v>
      </c>
      <c r="AB19" s="16">
        <f t="shared" si="3"/>
        <v>541.66666666666663</v>
      </c>
      <c r="AC19" s="16">
        <f t="shared" si="3"/>
        <v>541.66666666666663</v>
      </c>
      <c r="AD19" s="16">
        <f t="shared" si="3"/>
        <v>541.66666666666663</v>
      </c>
      <c r="AE19" s="16">
        <f t="shared" si="3"/>
        <v>541.66666666666663</v>
      </c>
      <c r="AF19" s="16">
        <f t="shared" si="3"/>
        <v>541.66666666666663</v>
      </c>
      <c r="AG19" s="16">
        <f t="shared" si="3"/>
        <v>541.66666666666663</v>
      </c>
      <c r="AH19" s="16">
        <f t="shared" si="3"/>
        <v>541.66666666666663</v>
      </c>
      <c r="AI19" s="16">
        <f t="shared" si="3"/>
        <v>541.66666666666663</v>
      </c>
      <c r="AJ19" s="16">
        <f t="shared" si="3"/>
        <v>541.66666666666663</v>
      </c>
    </row>
    <row r="20" spans="1:40" ht="15.5" customHeight="1" x14ac:dyDescent="0.35">
      <c r="A20" s="8" t="s">
        <v>5</v>
      </c>
      <c r="B20" s="18" t="s">
        <v>34</v>
      </c>
      <c r="C20" s="19">
        <v>14</v>
      </c>
      <c r="D20" s="20">
        <v>850</v>
      </c>
      <c r="E20" s="16">
        <f t="shared" si="9"/>
        <v>11900</v>
      </c>
      <c r="F20" s="31">
        <v>46149</v>
      </c>
      <c r="H20" s="16">
        <f t="shared" si="5"/>
        <v>0</v>
      </c>
      <c r="I20" s="16">
        <f t="shared" si="5"/>
        <v>0</v>
      </c>
      <c r="J20" s="16">
        <f t="shared" si="5"/>
        <v>0</v>
      </c>
      <c r="K20" s="16">
        <f t="shared" si="5"/>
        <v>0</v>
      </c>
      <c r="L20" s="16">
        <f t="shared" si="5"/>
        <v>0</v>
      </c>
      <c r="M20" s="16">
        <f t="shared" si="5"/>
        <v>0</v>
      </c>
      <c r="N20" s="16">
        <f t="shared" si="5"/>
        <v>0</v>
      </c>
      <c r="O20" s="16">
        <f t="shared" si="5"/>
        <v>0</v>
      </c>
      <c r="P20" s="16">
        <f t="shared" si="5"/>
        <v>0</v>
      </c>
      <c r="Q20" s="16">
        <f t="shared" si="5"/>
        <v>0</v>
      </c>
      <c r="R20" s="16">
        <f t="shared" si="5"/>
        <v>0</v>
      </c>
      <c r="S20" s="16">
        <f t="shared" si="5"/>
        <v>0</v>
      </c>
      <c r="U20" s="32">
        <f>VLOOKUP(A20,AssetLife,2,0)*12</f>
        <v>12</v>
      </c>
      <c r="V20" s="4">
        <f t="shared" si="6"/>
        <v>46514</v>
      </c>
      <c r="W20" s="33">
        <f>IFERROR(DATEDIF(F20,Start,"m"),0)</f>
        <v>0</v>
      </c>
      <c r="X20" s="33"/>
      <c r="Y20" s="16">
        <f t="shared" si="8"/>
        <v>0</v>
      </c>
      <c r="Z20" s="16">
        <f t="shared" si="8"/>
        <v>0</v>
      </c>
      <c r="AA20" s="16">
        <f t="shared" si="8"/>
        <v>0</v>
      </c>
      <c r="AB20" s="16">
        <f t="shared" si="8"/>
        <v>0</v>
      </c>
      <c r="AC20" s="16">
        <f t="shared" si="8"/>
        <v>991.66666666666663</v>
      </c>
      <c r="AD20" s="16">
        <f t="shared" si="8"/>
        <v>991.66666666666663</v>
      </c>
      <c r="AE20" s="16">
        <f t="shared" si="8"/>
        <v>991.66666666666663</v>
      </c>
      <c r="AF20" s="16">
        <f t="shared" si="8"/>
        <v>991.66666666666663</v>
      </c>
      <c r="AG20" s="16">
        <f t="shared" si="8"/>
        <v>991.66666666666663</v>
      </c>
      <c r="AH20" s="16">
        <f t="shared" si="8"/>
        <v>991.66666666666663</v>
      </c>
      <c r="AI20" s="16">
        <f t="shared" si="8"/>
        <v>991.66666666666663</v>
      </c>
      <c r="AJ20" s="16">
        <f t="shared" si="8"/>
        <v>991.66666666666663</v>
      </c>
    </row>
    <row r="21" spans="1:40" ht="15.5" customHeight="1" x14ac:dyDescent="0.35">
      <c r="A21" s="8" t="s">
        <v>5</v>
      </c>
      <c r="B21" s="18" t="s">
        <v>35</v>
      </c>
      <c r="C21" s="19">
        <v>25</v>
      </c>
      <c r="D21" s="20">
        <v>650</v>
      </c>
      <c r="E21" s="16">
        <f t="shared" si="9"/>
        <v>16250</v>
      </c>
      <c r="F21" s="31">
        <v>46180</v>
      </c>
      <c r="H21" s="16">
        <f t="shared" si="5"/>
        <v>0</v>
      </c>
      <c r="I21" s="16">
        <f t="shared" si="5"/>
        <v>0</v>
      </c>
      <c r="J21" s="16">
        <f t="shared" si="5"/>
        <v>0</v>
      </c>
      <c r="K21" s="16">
        <f t="shared" si="5"/>
        <v>0</v>
      </c>
      <c r="L21" s="16">
        <f t="shared" si="5"/>
        <v>0</v>
      </c>
      <c r="M21" s="16">
        <f t="shared" si="5"/>
        <v>0</v>
      </c>
      <c r="N21" s="16">
        <f t="shared" si="5"/>
        <v>0</v>
      </c>
      <c r="O21" s="16">
        <f t="shared" si="5"/>
        <v>0</v>
      </c>
      <c r="P21" s="16">
        <f t="shared" si="5"/>
        <v>0</v>
      </c>
      <c r="Q21" s="16">
        <f t="shared" si="5"/>
        <v>0</v>
      </c>
      <c r="R21" s="16">
        <f t="shared" si="5"/>
        <v>0</v>
      </c>
      <c r="S21" s="16">
        <f t="shared" si="5"/>
        <v>0</v>
      </c>
      <c r="U21" s="32">
        <f>VLOOKUP(A21,AssetLife,2,0)*12</f>
        <v>12</v>
      </c>
      <c r="V21" s="4">
        <f t="shared" si="6"/>
        <v>46545</v>
      </c>
      <c r="W21" s="33">
        <f>IFERROR(DATEDIF(F21,Start,"m"),0)</f>
        <v>0</v>
      </c>
      <c r="X21" s="33"/>
      <c r="Y21" s="16">
        <f t="shared" si="8"/>
        <v>0</v>
      </c>
      <c r="Z21" s="16">
        <f t="shared" si="8"/>
        <v>0</v>
      </c>
      <c r="AA21" s="16">
        <f t="shared" si="8"/>
        <v>0</v>
      </c>
      <c r="AB21" s="16">
        <f t="shared" si="8"/>
        <v>0</v>
      </c>
      <c r="AC21" s="16">
        <f t="shared" si="8"/>
        <v>0</v>
      </c>
      <c r="AD21" s="16">
        <f t="shared" si="8"/>
        <v>1354.1666666666667</v>
      </c>
      <c r="AE21" s="16">
        <f t="shared" si="8"/>
        <v>1354.1666666666667</v>
      </c>
      <c r="AF21" s="16">
        <f t="shared" si="8"/>
        <v>1354.1666666666667</v>
      </c>
      <c r="AG21" s="16">
        <f t="shared" si="8"/>
        <v>1354.1666666666667</v>
      </c>
      <c r="AH21" s="16">
        <f t="shared" si="8"/>
        <v>1354.1666666666667</v>
      </c>
      <c r="AI21" s="16">
        <f t="shared" si="8"/>
        <v>1354.1666666666667</v>
      </c>
      <c r="AJ21" s="16">
        <f t="shared" si="8"/>
        <v>1354.1666666666667</v>
      </c>
    </row>
    <row r="22" spans="1:40" ht="15.5" customHeight="1" x14ac:dyDescent="0.35">
      <c r="A22" s="8" t="s">
        <v>5</v>
      </c>
      <c r="B22" s="18" t="s">
        <v>36</v>
      </c>
      <c r="C22" s="19">
        <v>30</v>
      </c>
      <c r="D22" s="20">
        <v>545</v>
      </c>
      <c r="E22" s="16">
        <f t="shared" si="9"/>
        <v>16350</v>
      </c>
      <c r="F22" s="31">
        <v>46302</v>
      </c>
      <c r="H22" s="16">
        <f t="shared" si="5"/>
        <v>0</v>
      </c>
      <c r="I22" s="16">
        <f t="shared" si="5"/>
        <v>0</v>
      </c>
      <c r="J22" s="16">
        <f t="shared" si="5"/>
        <v>0</v>
      </c>
      <c r="K22" s="16">
        <f t="shared" si="5"/>
        <v>0</v>
      </c>
      <c r="L22" s="16">
        <f t="shared" si="5"/>
        <v>0</v>
      </c>
      <c r="M22" s="16">
        <f t="shared" si="5"/>
        <v>0</v>
      </c>
      <c r="N22" s="16">
        <f t="shared" si="5"/>
        <v>0</v>
      </c>
      <c r="O22" s="16">
        <f t="shared" si="5"/>
        <v>0</v>
      </c>
      <c r="P22" s="16">
        <f t="shared" si="5"/>
        <v>0</v>
      </c>
      <c r="Q22" s="16">
        <f t="shared" si="5"/>
        <v>0</v>
      </c>
      <c r="R22" s="16">
        <f t="shared" si="5"/>
        <v>0</v>
      </c>
      <c r="S22" s="16">
        <f t="shared" si="5"/>
        <v>0</v>
      </c>
      <c r="U22" s="32">
        <f>VLOOKUP(A22,AssetLife,2,0)*12</f>
        <v>12</v>
      </c>
      <c r="V22" s="4">
        <f t="shared" si="6"/>
        <v>46667</v>
      </c>
      <c r="W22" s="33">
        <f>IFERROR(DATEDIF(F22,Start,"m"),0)</f>
        <v>0</v>
      </c>
      <c r="X22" s="33"/>
      <c r="Y22" s="16">
        <f t="shared" si="8"/>
        <v>0</v>
      </c>
      <c r="Z22" s="16">
        <f t="shared" si="8"/>
        <v>0</v>
      </c>
      <c r="AA22" s="16">
        <f t="shared" si="8"/>
        <v>0</v>
      </c>
      <c r="AB22" s="16">
        <f t="shared" si="8"/>
        <v>0</v>
      </c>
      <c r="AC22" s="16">
        <f t="shared" si="8"/>
        <v>0</v>
      </c>
      <c r="AD22" s="16">
        <f t="shared" si="8"/>
        <v>0</v>
      </c>
      <c r="AE22" s="16">
        <f t="shared" si="8"/>
        <v>0</v>
      </c>
      <c r="AF22" s="16">
        <f t="shared" si="8"/>
        <v>0</v>
      </c>
      <c r="AG22" s="16">
        <f t="shared" si="8"/>
        <v>0</v>
      </c>
      <c r="AH22" s="16">
        <f t="shared" si="8"/>
        <v>1362.5</v>
      </c>
      <c r="AI22" s="16">
        <f t="shared" si="8"/>
        <v>1362.5</v>
      </c>
      <c r="AJ22" s="16">
        <f t="shared" si="8"/>
        <v>1362.5</v>
      </c>
    </row>
    <row r="23" spans="1:40" ht="15.5" customHeight="1" x14ac:dyDescent="0.35">
      <c r="A23" s="8" t="s">
        <v>5</v>
      </c>
      <c r="B23" s="18" t="s">
        <v>37</v>
      </c>
      <c r="C23" s="19">
        <v>2</v>
      </c>
      <c r="D23" s="20">
        <v>650</v>
      </c>
      <c r="E23" s="16">
        <f t="shared" si="9"/>
        <v>1300</v>
      </c>
      <c r="F23" s="31">
        <v>46029</v>
      </c>
      <c r="H23" s="16">
        <f t="shared" si="5"/>
        <v>0</v>
      </c>
      <c r="I23" s="16">
        <f t="shared" si="5"/>
        <v>0</v>
      </c>
      <c r="J23" s="16">
        <f t="shared" si="5"/>
        <v>0</v>
      </c>
      <c r="K23" s="16">
        <f t="shared" si="5"/>
        <v>0</v>
      </c>
      <c r="L23" s="16">
        <f t="shared" si="5"/>
        <v>0</v>
      </c>
      <c r="M23" s="16">
        <f t="shared" si="5"/>
        <v>0</v>
      </c>
      <c r="N23" s="16">
        <f t="shared" si="5"/>
        <v>0</v>
      </c>
      <c r="O23" s="16">
        <f t="shared" si="5"/>
        <v>0</v>
      </c>
      <c r="P23" s="16">
        <f t="shared" si="5"/>
        <v>0</v>
      </c>
      <c r="Q23" s="16">
        <f t="shared" si="5"/>
        <v>0</v>
      </c>
      <c r="R23" s="16">
        <f t="shared" si="5"/>
        <v>0</v>
      </c>
      <c r="S23" s="16">
        <f t="shared" si="5"/>
        <v>0</v>
      </c>
      <c r="U23" s="32">
        <f>VLOOKUP(A23,AssetLife,2,0)*12</f>
        <v>12</v>
      </c>
      <c r="V23" s="4">
        <f t="shared" si="6"/>
        <v>46394</v>
      </c>
      <c r="W23" s="33">
        <f>IFERROR(DATEDIF(F23,Start,"m"),0)</f>
        <v>0</v>
      </c>
      <c r="X23" s="33"/>
      <c r="Y23" s="16">
        <f t="shared" si="8"/>
        <v>108.33333333333333</v>
      </c>
      <c r="Z23" s="16">
        <f t="shared" si="8"/>
        <v>108.33333333333333</v>
      </c>
      <c r="AA23" s="16">
        <f t="shared" si="8"/>
        <v>108.33333333333333</v>
      </c>
      <c r="AB23" s="16">
        <f t="shared" si="8"/>
        <v>108.33333333333333</v>
      </c>
      <c r="AC23" s="16">
        <f t="shared" si="8"/>
        <v>108.33333333333333</v>
      </c>
      <c r="AD23" s="16">
        <f t="shared" si="8"/>
        <v>108.33333333333333</v>
      </c>
      <c r="AE23" s="16">
        <f t="shared" si="8"/>
        <v>108.33333333333333</v>
      </c>
      <c r="AF23" s="16">
        <f t="shared" si="8"/>
        <v>108.33333333333333</v>
      </c>
      <c r="AG23" s="16">
        <f t="shared" si="8"/>
        <v>108.33333333333333</v>
      </c>
      <c r="AH23" s="16">
        <f t="shared" si="8"/>
        <v>108.33333333333333</v>
      </c>
      <c r="AI23" s="16">
        <f t="shared" si="8"/>
        <v>108.33333333333333</v>
      </c>
      <c r="AJ23" s="16">
        <f t="shared" si="8"/>
        <v>108.33333333333333</v>
      </c>
      <c r="AK23" s="12"/>
      <c r="AL23" s="12"/>
      <c r="AM23" s="12"/>
      <c r="AN23" s="12"/>
    </row>
    <row r="24" spans="1:40" ht="15.5" customHeight="1" x14ac:dyDescent="0.35">
      <c r="A24" s="8" t="s">
        <v>5</v>
      </c>
      <c r="B24" s="18" t="s">
        <v>38</v>
      </c>
      <c r="C24" s="19">
        <v>1</v>
      </c>
      <c r="D24" s="20">
        <v>12000</v>
      </c>
      <c r="E24" s="16">
        <f t="shared" si="9"/>
        <v>12000</v>
      </c>
      <c r="F24" s="31">
        <v>46363</v>
      </c>
      <c r="H24" s="16">
        <f t="shared" si="5"/>
        <v>0</v>
      </c>
      <c r="I24" s="16">
        <f t="shared" si="5"/>
        <v>0</v>
      </c>
      <c r="J24" s="16">
        <f t="shared" si="5"/>
        <v>0</v>
      </c>
      <c r="K24" s="16">
        <f t="shared" si="5"/>
        <v>0</v>
      </c>
      <c r="L24" s="16">
        <f t="shared" si="5"/>
        <v>0</v>
      </c>
      <c r="M24" s="16">
        <f t="shared" si="5"/>
        <v>0</v>
      </c>
      <c r="N24" s="16">
        <f t="shared" si="5"/>
        <v>0</v>
      </c>
      <c r="O24" s="16">
        <f t="shared" si="5"/>
        <v>0</v>
      </c>
      <c r="P24" s="16">
        <f t="shared" si="5"/>
        <v>0</v>
      </c>
      <c r="Q24" s="16">
        <f t="shared" si="5"/>
        <v>0</v>
      </c>
      <c r="R24" s="16">
        <f t="shared" si="5"/>
        <v>0</v>
      </c>
      <c r="S24" s="16">
        <f t="shared" si="5"/>
        <v>0</v>
      </c>
      <c r="U24" s="32">
        <f>VLOOKUP(A24,AssetLife,2,0)*12</f>
        <v>12</v>
      </c>
      <c r="V24" s="4">
        <f t="shared" si="6"/>
        <v>46728</v>
      </c>
      <c r="W24" s="33">
        <f>IFERROR(DATEDIF(F24,Start,"m"),0)</f>
        <v>0</v>
      </c>
      <c r="X24" s="33"/>
      <c r="Y24" s="16">
        <f t="shared" si="8"/>
        <v>0</v>
      </c>
      <c r="Z24" s="16">
        <f t="shared" si="8"/>
        <v>0</v>
      </c>
      <c r="AA24" s="16">
        <f t="shared" si="8"/>
        <v>0</v>
      </c>
      <c r="AB24" s="16">
        <f t="shared" si="8"/>
        <v>0</v>
      </c>
      <c r="AC24" s="16">
        <f t="shared" si="8"/>
        <v>0</v>
      </c>
      <c r="AD24" s="16">
        <f t="shared" si="8"/>
        <v>0</v>
      </c>
      <c r="AE24" s="16">
        <f t="shared" si="8"/>
        <v>0</v>
      </c>
      <c r="AF24" s="16">
        <f t="shared" si="8"/>
        <v>0</v>
      </c>
      <c r="AG24" s="16">
        <f t="shared" si="8"/>
        <v>0</v>
      </c>
      <c r="AH24" s="16">
        <f t="shared" si="8"/>
        <v>0</v>
      </c>
      <c r="AI24" s="16">
        <f t="shared" si="8"/>
        <v>0</v>
      </c>
      <c r="AJ24" s="16">
        <f t="shared" si="8"/>
        <v>1000</v>
      </c>
      <c r="AK24" s="12"/>
      <c r="AL24" s="12"/>
      <c r="AM24" s="12"/>
      <c r="AN24" s="12"/>
    </row>
    <row r="25" spans="1:40" ht="15.5" customHeight="1" x14ac:dyDescent="0.35">
      <c r="A25" s="8" t="s">
        <v>5</v>
      </c>
      <c r="B25" s="18" t="s">
        <v>39</v>
      </c>
      <c r="C25" s="19">
        <v>1</v>
      </c>
      <c r="D25" s="20">
        <v>4600</v>
      </c>
      <c r="E25" s="16">
        <f t="shared" si="9"/>
        <v>4600</v>
      </c>
      <c r="F25" s="31">
        <v>46149</v>
      </c>
      <c r="H25" s="16">
        <f t="shared" si="5"/>
        <v>0</v>
      </c>
      <c r="I25" s="16">
        <f t="shared" si="5"/>
        <v>0</v>
      </c>
      <c r="J25" s="16">
        <f t="shared" si="5"/>
        <v>0</v>
      </c>
      <c r="K25" s="16">
        <f t="shared" si="5"/>
        <v>0</v>
      </c>
      <c r="L25" s="16">
        <f t="shared" si="5"/>
        <v>0</v>
      </c>
      <c r="M25" s="16">
        <f t="shared" si="5"/>
        <v>0</v>
      </c>
      <c r="N25" s="16">
        <f t="shared" si="5"/>
        <v>0</v>
      </c>
      <c r="O25" s="16">
        <f t="shared" si="5"/>
        <v>0</v>
      </c>
      <c r="P25" s="16">
        <f t="shared" si="5"/>
        <v>0</v>
      </c>
      <c r="Q25" s="16">
        <f t="shared" si="5"/>
        <v>0</v>
      </c>
      <c r="R25" s="16">
        <f t="shared" si="5"/>
        <v>0</v>
      </c>
      <c r="S25" s="16">
        <f t="shared" si="5"/>
        <v>0</v>
      </c>
      <c r="T25" s="12"/>
      <c r="U25" s="32">
        <f>VLOOKUP(A25,AssetLife,2,0)*12</f>
        <v>12</v>
      </c>
      <c r="V25" s="4">
        <f t="shared" si="6"/>
        <v>46514</v>
      </c>
      <c r="W25" s="33">
        <f>IFERROR(DATEDIF(F25,Start,"m"),0)</f>
        <v>0</v>
      </c>
      <c r="X25" s="34"/>
      <c r="Y25" s="16">
        <f t="shared" si="8"/>
        <v>0</v>
      </c>
      <c r="Z25" s="16">
        <f t="shared" si="8"/>
        <v>0</v>
      </c>
      <c r="AA25" s="16">
        <f t="shared" si="8"/>
        <v>0</v>
      </c>
      <c r="AB25" s="16">
        <f t="shared" si="8"/>
        <v>0</v>
      </c>
      <c r="AC25" s="16">
        <f t="shared" si="8"/>
        <v>383.33333333333331</v>
      </c>
      <c r="AD25" s="16">
        <f t="shared" si="8"/>
        <v>383.33333333333331</v>
      </c>
      <c r="AE25" s="16">
        <f t="shared" si="8"/>
        <v>383.33333333333331</v>
      </c>
      <c r="AF25" s="16">
        <f t="shared" si="8"/>
        <v>383.33333333333331</v>
      </c>
      <c r="AG25" s="16">
        <f t="shared" si="8"/>
        <v>383.33333333333331</v>
      </c>
      <c r="AH25" s="16">
        <f t="shared" si="8"/>
        <v>383.33333333333331</v>
      </c>
      <c r="AI25" s="16">
        <f t="shared" si="8"/>
        <v>383.33333333333331</v>
      </c>
      <c r="AJ25" s="16">
        <f t="shared" si="8"/>
        <v>383.33333333333331</v>
      </c>
      <c r="AK25" s="12"/>
      <c r="AL25" s="12"/>
      <c r="AM25" s="12"/>
      <c r="AN25" s="12"/>
    </row>
    <row r="26" spans="1:40" ht="15.5" x14ac:dyDescent="0.35">
      <c r="B26" s="12"/>
      <c r="C26" s="13"/>
      <c r="D26" s="15" t="s">
        <v>44</v>
      </c>
      <c r="E26" s="17">
        <f>SUM(E4:E25)</f>
        <v>171550</v>
      </c>
      <c r="F26" s="10"/>
      <c r="G26" s="17">
        <f>SUM(G4:G25)</f>
        <v>0</v>
      </c>
      <c r="H26" s="17">
        <f t="shared" ref="H26:S26" si="10">SUM(H4:H25)</f>
        <v>0</v>
      </c>
      <c r="I26" s="17">
        <f t="shared" si="10"/>
        <v>35250</v>
      </c>
      <c r="J26" s="17">
        <f t="shared" si="10"/>
        <v>150</v>
      </c>
      <c r="K26" s="17">
        <f t="shared" si="10"/>
        <v>0</v>
      </c>
      <c r="L26" s="17">
        <f t="shared" si="10"/>
        <v>400</v>
      </c>
      <c r="M26" s="17">
        <f t="shared" si="10"/>
        <v>0</v>
      </c>
      <c r="N26" s="17">
        <f t="shared" si="10"/>
        <v>0</v>
      </c>
      <c r="O26" s="17">
        <f t="shared" si="10"/>
        <v>0</v>
      </c>
      <c r="P26" s="17">
        <f t="shared" si="10"/>
        <v>0</v>
      </c>
      <c r="Q26" s="17">
        <f t="shared" si="10"/>
        <v>0</v>
      </c>
      <c r="R26" s="17">
        <f t="shared" si="10"/>
        <v>0</v>
      </c>
      <c r="S26" s="17">
        <f t="shared" si="10"/>
        <v>0</v>
      </c>
      <c r="T26" s="13"/>
      <c r="V26" s="47"/>
      <c r="W26" s="47"/>
      <c r="X26" s="14" t="s">
        <v>43</v>
      </c>
      <c r="Y26" s="45">
        <f>SUM(Y4:Y25)</f>
        <v>108.33333333333333</v>
      </c>
      <c r="Z26" s="45">
        <f>SUM(Z4:Z25)</f>
        <v>120.83333333333333</v>
      </c>
      <c r="AA26" s="45">
        <f t="shared" ref="AA26:AJ26" si="11">SUM(AA4:AA25)</f>
        <v>1360.4166666666665</v>
      </c>
      <c r="AB26" s="45">
        <f t="shared" si="11"/>
        <v>1607.2916666666665</v>
      </c>
      <c r="AC26" s="45">
        <f t="shared" si="11"/>
        <v>3132.2916666666665</v>
      </c>
      <c r="AD26" s="45">
        <f t="shared" si="11"/>
        <v>4785.7638888888878</v>
      </c>
      <c r="AE26" s="45">
        <f t="shared" si="11"/>
        <v>4785.7638888888878</v>
      </c>
      <c r="AF26" s="45">
        <f t="shared" si="11"/>
        <v>4921.1805555555547</v>
      </c>
      <c r="AG26" s="45">
        <f t="shared" si="11"/>
        <v>4924.3055555555547</v>
      </c>
      <c r="AH26" s="45">
        <f t="shared" si="11"/>
        <v>6755.5555555555547</v>
      </c>
      <c r="AI26" s="45">
        <f t="shared" si="11"/>
        <v>6859.7222222222217</v>
      </c>
      <c r="AJ26" s="45">
        <f t="shared" si="11"/>
        <v>7859.7222222222217</v>
      </c>
      <c r="AK26" s="13" t="s">
        <v>43</v>
      </c>
      <c r="AL26" s="13" t="s">
        <v>43</v>
      </c>
      <c r="AM26" s="13" t="s">
        <v>43</v>
      </c>
      <c r="AN26" s="12"/>
    </row>
    <row r="27" spans="1:40" x14ac:dyDescent="0.35">
      <c r="AK27" s="12"/>
      <c r="AL27" s="12"/>
      <c r="AM27" s="12"/>
      <c r="AN27" s="12"/>
    </row>
    <row r="28" spans="1:40" ht="15.5" x14ac:dyDescent="0.35">
      <c r="A28" s="9" t="s">
        <v>40</v>
      </c>
      <c r="G28" s="16"/>
      <c r="H28" s="16">
        <f t="shared" ref="H28:S28" si="12">H26+G28</f>
        <v>0</v>
      </c>
      <c r="I28" s="16">
        <f t="shared" si="12"/>
        <v>35250</v>
      </c>
      <c r="J28" s="16">
        <f t="shared" si="12"/>
        <v>35400</v>
      </c>
      <c r="K28" s="16">
        <f t="shared" si="12"/>
        <v>35400</v>
      </c>
      <c r="L28" s="16">
        <f t="shared" si="12"/>
        <v>35800</v>
      </c>
      <c r="M28" s="16">
        <f t="shared" si="12"/>
        <v>35800</v>
      </c>
      <c r="N28" s="16">
        <f t="shared" si="12"/>
        <v>35800</v>
      </c>
      <c r="O28" s="16">
        <f t="shared" si="12"/>
        <v>35800</v>
      </c>
      <c r="P28" s="16">
        <f t="shared" si="12"/>
        <v>35800</v>
      </c>
      <c r="Q28" s="16">
        <f t="shared" si="12"/>
        <v>35800</v>
      </c>
      <c r="R28" s="16">
        <f t="shared" si="12"/>
        <v>35800</v>
      </c>
      <c r="S28" s="16">
        <f t="shared" si="12"/>
        <v>35800</v>
      </c>
    </row>
    <row r="29" spans="1:40" ht="15.5" x14ac:dyDescent="0.35">
      <c r="A29" s="9" t="s">
        <v>41</v>
      </c>
      <c r="G29" s="53"/>
      <c r="H29" s="53">
        <f>Y26+G29</f>
        <v>108.33333333333333</v>
      </c>
      <c r="I29" s="53">
        <f t="shared" ref="I29:S29" si="13">Z26+H29</f>
        <v>229.16666666666666</v>
      </c>
      <c r="J29" s="53">
        <f t="shared" si="13"/>
        <v>1589.5833333333333</v>
      </c>
      <c r="K29" s="53">
        <f t="shared" si="13"/>
        <v>3196.875</v>
      </c>
      <c r="L29" s="53">
        <f t="shared" si="13"/>
        <v>6329.1666666666661</v>
      </c>
      <c r="M29" s="53">
        <f t="shared" si="13"/>
        <v>11114.930555555555</v>
      </c>
      <c r="N29" s="53">
        <f t="shared" si="13"/>
        <v>15900.694444444442</v>
      </c>
      <c r="O29" s="53">
        <f t="shared" si="13"/>
        <v>20821.874999999996</v>
      </c>
      <c r="P29" s="53">
        <f t="shared" si="13"/>
        <v>25746.180555555551</v>
      </c>
      <c r="Q29" s="53">
        <f t="shared" si="13"/>
        <v>32501.736111111106</v>
      </c>
      <c r="R29" s="53">
        <f t="shared" si="13"/>
        <v>39361.458333333328</v>
      </c>
      <c r="S29" s="53">
        <f t="shared" si="13"/>
        <v>47221.180555555547</v>
      </c>
    </row>
    <row r="30" spans="1:40" ht="15.5" x14ac:dyDescent="0.35">
      <c r="A30" s="11" t="s">
        <v>42</v>
      </c>
      <c r="G30" s="54">
        <f>SUM(G28:G29)</f>
        <v>0</v>
      </c>
      <c r="H30" s="54">
        <f t="shared" ref="H30:S30" si="14">SUM(H28:H29)</f>
        <v>108.33333333333333</v>
      </c>
      <c r="I30" s="54">
        <f t="shared" si="14"/>
        <v>35479.166666666664</v>
      </c>
      <c r="J30" s="54">
        <f t="shared" si="14"/>
        <v>36989.583333333336</v>
      </c>
      <c r="K30" s="54">
        <f t="shared" si="14"/>
        <v>38596.875</v>
      </c>
      <c r="L30" s="54">
        <f t="shared" si="14"/>
        <v>42129.166666666664</v>
      </c>
      <c r="M30" s="54">
        <f t="shared" si="14"/>
        <v>46914.930555555555</v>
      </c>
      <c r="N30" s="54">
        <f t="shared" si="14"/>
        <v>51700.694444444438</v>
      </c>
      <c r="O30" s="54">
        <f t="shared" si="14"/>
        <v>56621.875</v>
      </c>
      <c r="P30" s="54">
        <f t="shared" si="14"/>
        <v>61546.180555555547</v>
      </c>
      <c r="Q30" s="54">
        <f t="shared" si="14"/>
        <v>68301.736111111109</v>
      </c>
      <c r="R30" s="54">
        <f t="shared" si="14"/>
        <v>75161.458333333328</v>
      </c>
      <c r="S30" s="54">
        <f t="shared" si="14"/>
        <v>83021.180555555547</v>
      </c>
    </row>
  </sheetData>
  <mergeCells count="2">
    <mergeCell ref="A1:S1"/>
    <mergeCell ref="Y1:AJ1"/>
  </mergeCells>
  <dataValidations count="1">
    <dataValidation type="list" allowBlank="1" showInputMessage="1" showErrorMessage="1" promptTitle="Dont Edit" prompt="Please click to select the date, this hardcoded date can't be edit" sqref="F4:F25" xr:uid="{11248243-4731-4AE1-BF47-84C09C5A7457}">
      <formula1>$H$2:$S$2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Assumptions</vt:lpstr>
      <vt:lpstr>Calculations CAPEX</vt:lpstr>
      <vt:lpstr>AssetLife</vt:lpstr>
      <vt:lpstr>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rotimi</dc:creator>
  <cp:lastModifiedBy>michael rotimi</cp:lastModifiedBy>
  <dcterms:created xsi:type="dcterms:W3CDTF">2015-06-05T18:17:20Z</dcterms:created>
  <dcterms:modified xsi:type="dcterms:W3CDTF">2026-01-08T01:49:32Z</dcterms:modified>
</cp:coreProperties>
</file>