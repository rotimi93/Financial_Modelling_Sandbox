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ocuments\Finance\sandbox\Project\"/>
    </mc:Choice>
  </mc:AlternateContent>
  <xr:revisionPtr revIDLastSave="0" documentId="13_ncr:1_{BDA6F40F-A562-40DF-A3DD-07AB9F63EEA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lance Sheet" sheetId="3" r:id="rId1"/>
    <sheet name="IS and Cash Flow" sheetId="2" r:id="rId2"/>
    <sheet name="DCF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" i="1" l="1"/>
  <c r="B25" i="1"/>
  <c r="B24" i="1"/>
  <c r="B23" i="1"/>
  <c r="B22" i="1"/>
  <c r="D20" i="1"/>
  <c r="E20" i="1"/>
  <c r="F20" i="1"/>
  <c r="G20" i="1"/>
  <c r="H20" i="1"/>
  <c r="I20" i="1"/>
  <c r="C20" i="1"/>
  <c r="I19" i="1"/>
  <c r="D18" i="1"/>
  <c r="E18" i="1"/>
  <c r="F18" i="1"/>
  <c r="G18" i="1"/>
  <c r="H18" i="1"/>
  <c r="I18" i="1"/>
  <c r="C18" i="1"/>
  <c r="B5" i="1"/>
  <c r="B6" i="1"/>
  <c r="C4" i="1"/>
  <c r="B4" i="1"/>
  <c r="B3" i="1"/>
  <c r="C3" i="1"/>
  <c r="D17" i="1" l="1"/>
  <c r="E17" i="1"/>
  <c r="F17" i="1"/>
  <c r="G17" i="1"/>
  <c r="H17" i="1"/>
  <c r="I17" i="1"/>
  <c r="D16" i="1"/>
  <c r="E16" i="1"/>
  <c r="F16" i="1"/>
  <c r="G16" i="1"/>
  <c r="H16" i="1"/>
  <c r="I16" i="1"/>
  <c r="D15" i="1"/>
  <c r="E15" i="1"/>
  <c r="F15" i="1"/>
  <c r="G15" i="1"/>
  <c r="H15" i="1"/>
  <c r="I15" i="1"/>
  <c r="D14" i="1"/>
  <c r="E14" i="1"/>
  <c r="F14" i="1"/>
  <c r="G14" i="1"/>
  <c r="H14" i="1"/>
  <c r="I14" i="1"/>
  <c r="C16" i="1"/>
  <c r="C17" i="1"/>
  <c r="C15" i="1"/>
  <c r="C14" i="1"/>
  <c r="D13" i="1"/>
  <c r="E13" i="1"/>
  <c r="F13" i="1"/>
  <c r="G13" i="1"/>
  <c r="H13" i="1"/>
  <c r="I13" i="1"/>
  <c r="C13" i="1"/>
  <c r="B34" i="3"/>
  <c r="B36" i="3" s="1"/>
  <c r="C33" i="3"/>
  <c r="C34" i="3" s="1"/>
  <c r="C32" i="3"/>
  <c r="D32" i="3" s="1"/>
  <c r="B29" i="3"/>
  <c r="D28" i="3"/>
  <c r="E28" i="3" s="1"/>
  <c r="C28" i="3"/>
  <c r="C29" i="3" s="1"/>
  <c r="I25" i="3"/>
  <c r="H25" i="3"/>
  <c r="G25" i="3"/>
  <c r="F25" i="3"/>
  <c r="E25" i="3"/>
  <c r="D25" i="3"/>
  <c r="C25" i="3"/>
  <c r="B25" i="3"/>
  <c r="B16" i="3"/>
  <c r="B18" i="3" s="1"/>
  <c r="C15" i="3"/>
  <c r="D15" i="3" s="1"/>
  <c r="E15" i="3" s="1"/>
  <c r="F15" i="3" s="1"/>
  <c r="G15" i="3" s="1"/>
  <c r="H15" i="3" s="1"/>
  <c r="I15" i="3" s="1"/>
  <c r="C14" i="3"/>
  <c r="D14" i="3" s="1"/>
  <c r="B11" i="3"/>
  <c r="B9" i="3"/>
  <c r="C9" i="3" s="1"/>
  <c r="I6" i="3"/>
  <c r="H6" i="3"/>
  <c r="G6" i="3"/>
  <c r="F6" i="3"/>
  <c r="E6" i="3"/>
  <c r="D6" i="3"/>
  <c r="C6" i="3"/>
  <c r="I3" i="3"/>
  <c r="H3" i="3"/>
  <c r="G3" i="3"/>
  <c r="F3" i="3"/>
  <c r="E3" i="3"/>
  <c r="D3" i="3"/>
  <c r="C3" i="3"/>
  <c r="C55" i="2"/>
  <c r="I53" i="2"/>
  <c r="H53" i="2"/>
  <c r="G53" i="2"/>
  <c r="F53" i="2"/>
  <c r="E53" i="2"/>
  <c r="D53" i="2"/>
  <c r="C53" i="2"/>
  <c r="I40" i="2"/>
  <c r="H40" i="2"/>
  <c r="G40" i="2"/>
  <c r="F40" i="2"/>
  <c r="E40" i="2"/>
  <c r="D40" i="2"/>
  <c r="C40" i="2"/>
  <c r="I39" i="2"/>
  <c r="H39" i="2"/>
  <c r="G39" i="2"/>
  <c r="F39" i="2"/>
  <c r="E39" i="2"/>
  <c r="D39" i="2"/>
  <c r="C39" i="2"/>
  <c r="C32" i="2"/>
  <c r="D32" i="2" s="1"/>
  <c r="E32" i="2" s="1"/>
  <c r="F32" i="2" s="1"/>
  <c r="G32" i="2" s="1"/>
  <c r="H32" i="2" s="1"/>
  <c r="I32" i="2" s="1"/>
  <c r="B27" i="2"/>
  <c r="B25" i="2"/>
  <c r="C25" i="2" s="1"/>
  <c r="D25" i="2" s="1"/>
  <c r="E25" i="2" s="1"/>
  <c r="F25" i="2" s="1"/>
  <c r="G25" i="2" s="1"/>
  <c r="H25" i="2" s="1"/>
  <c r="I25" i="2" s="1"/>
  <c r="B22" i="2"/>
  <c r="B20" i="2"/>
  <c r="C20" i="2" s="1"/>
  <c r="B16" i="2"/>
  <c r="B17" i="2" s="1"/>
  <c r="B14" i="2"/>
  <c r="C14" i="2" s="1"/>
  <c r="D14" i="2" s="1"/>
  <c r="E14" i="2" s="1"/>
  <c r="F14" i="2" s="1"/>
  <c r="G14" i="2" s="1"/>
  <c r="H14" i="2" s="1"/>
  <c r="I14" i="2" s="1"/>
  <c r="B10" i="2"/>
  <c r="B11" i="2" s="1"/>
  <c r="C7" i="2"/>
  <c r="D7" i="2" s="1"/>
  <c r="E7" i="2" s="1"/>
  <c r="F7" i="2" s="1"/>
  <c r="G7" i="2" s="1"/>
  <c r="H7" i="2" s="1"/>
  <c r="I7" i="2" s="1"/>
  <c r="C4" i="2"/>
  <c r="C13" i="2" s="1"/>
  <c r="C35" i="2" s="1"/>
  <c r="E3" i="2"/>
  <c r="F3" i="2" s="1"/>
  <c r="G3" i="2" s="1"/>
  <c r="H3" i="2" s="1"/>
  <c r="I3" i="2" s="1"/>
  <c r="C3" i="2"/>
  <c r="D3" i="2" s="1"/>
  <c r="D9" i="3" l="1"/>
  <c r="C8" i="3"/>
  <c r="C11" i="3" s="1"/>
  <c r="E32" i="3"/>
  <c r="E14" i="3"/>
  <c r="D16" i="3"/>
  <c r="C36" i="3"/>
  <c r="E29" i="3"/>
  <c r="F28" i="3"/>
  <c r="B38" i="3"/>
  <c r="C16" i="3"/>
  <c r="D29" i="3"/>
  <c r="D33" i="3"/>
  <c r="E33" i="3" s="1"/>
  <c r="F33" i="3" s="1"/>
  <c r="G33" i="3" s="1"/>
  <c r="H33" i="3" s="1"/>
  <c r="I33" i="3" s="1"/>
  <c r="D20" i="2"/>
  <c r="C19" i="2"/>
  <c r="D4" i="2"/>
  <c r="C45" i="2"/>
  <c r="C48" i="2" s="1"/>
  <c r="C10" i="2"/>
  <c r="F14" i="3" l="1"/>
  <c r="E16" i="3"/>
  <c r="D34" i="3"/>
  <c r="D36" i="3" s="1"/>
  <c r="D38" i="3" s="1"/>
  <c r="D8" i="3"/>
  <c r="D11" i="3" s="1"/>
  <c r="D18" i="3" s="1"/>
  <c r="E9" i="3"/>
  <c r="G28" i="3"/>
  <c r="F29" i="3"/>
  <c r="E34" i="3"/>
  <c r="E36" i="3" s="1"/>
  <c r="F32" i="3"/>
  <c r="C18" i="3"/>
  <c r="C38" i="3" s="1"/>
  <c r="D45" i="2"/>
  <c r="D48" i="2" s="1"/>
  <c r="E4" i="2"/>
  <c r="D10" i="2"/>
  <c r="D13" i="2"/>
  <c r="D35" i="2" s="1"/>
  <c r="C16" i="2"/>
  <c r="C11" i="2"/>
  <c r="D19" i="2"/>
  <c r="E20" i="2"/>
  <c r="G29" i="3" l="1"/>
  <c r="H28" i="3"/>
  <c r="E18" i="3"/>
  <c r="E38" i="3" s="1"/>
  <c r="F34" i="3"/>
  <c r="G32" i="3"/>
  <c r="E8" i="3"/>
  <c r="E11" i="3" s="1"/>
  <c r="F9" i="3"/>
  <c r="F16" i="3"/>
  <c r="G14" i="3"/>
  <c r="F36" i="3"/>
  <c r="C17" i="2"/>
  <c r="C22" i="2"/>
  <c r="F20" i="2"/>
  <c r="E19" i="2"/>
  <c r="D11" i="2"/>
  <c r="D16" i="2"/>
  <c r="E13" i="2"/>
  <c r="E35" i="2" s="1"/>
  <c r="E10" i="2"/>
  <c r="E45" i="2"/>
  <c r="E48" i="2" s="1"/>
  <c r="F4" i="2"/>
  <c r="H29" i="3" l="1"/>
  <c r="I28" i="3"/>
  <c r="I29" i="3" s="1"/>
  <c r="G9" i="3"/>
  <c r="F8" i="3"/>
  <c r="F11" i="3" s="1"/>
  <c r="F18" i="3" s="1"/>
  <c r="F38" i="3" s="1"/>
  <c r="H14" i="3"/>
  <c r="G16" i="3"/>
  <c r="G36" i="3"/>
  <c r="H32" i="3"/>
  <c r="G34" i="3"/>
  <c r="E16" i="2"/>
  <c r="E11" i="2"/>
  <c r="G20" i="2"/>
  <c r="F19" i="2"/>
  <c r="F10" i="2"/>
  <c r="F13" i="2"/>
  <c r="F35" i="2" s="1"/>
  <c r="F45" i="2"/>
  <c r="F48" i="2" s="1"/>
  <c r="G4" i="2"/>
  <c r="D22" i="2"/>
  <c r="D17" i="2"/>
  <c r="C24" i="2"/>
  <c r="C27" i="2" s="1"/>
  <c r="C34" i="2" s="1"/>
  <c r="C42" i="2" s="1"/>
  <c r="C56" i="2" s="1"/>
  <c r="C57" i="2" s="1"/>
  <c r="D55" i="2" s="1"/>
  <c r="H9" i="3" l="1"/>
  <c r="G8" i="3"/>
  <c r="G11" i="3" s="1"/>
  <c r="G18" i="3" s="1"/>
  <c r="G38" i="3" s="1"/>
  <c r="I14" i="3"/>
  <c r="I16" i="3" s="1"/>
  <c r="H16" i="3"/>
  <c r="I32" i="3"/>
  <c r="I34" i="3" s="1"/>
  <c r="I36" i="3" s="1"/>
  <c r="H34" i="3"/>
  <c r="H36" i="3"/>
  <c r="H20" i="2"/>
  <c r="G19" i="2"/>
  <c r="G13" i="2"/>
  <c r="G35" i="2" s="1"/>
  <c r="H4" i="2"/>
  <c r="G45" i="2"/>
  <c r="G48" i="2" s="1"/>
  <c r="G10" i="2"/>
  <c r="D24" i="2"/>
  <c r="D27" i="2" s="1"/>
  <c r="D34" i="2" s="1"/>
  <c r="D42" i="2" s="1"/>
  <c r="D56" i="2" s="1"/>
  <c r="D57" i="2" s="1"/>
  <c r="E55" i="2" s="1"/>
  <c r="F11" i="2"/>
  <c r="F16" i="2"/>
  <c r="E17" i="2"/>
  <c r="E22" i="2"/>
  <c r="H8" i="3" l="1"/>
  <c r="H11" i="3" s="1"/>
  <c r="H18" i="3" s="1"/>
  <c r="H38" i="3" s="1"/>
  <c r="I9" i="3"/>
  <c r="I8" i="3" s="1"/>
  <c r="I11" i="3" s="1"/>
  <c r="I18" i="3" s="1"/>
  <c r="I38" i="3" s="1"/>
  <c r="E24" i="2"/>
  <c r="E27" i="2" s="1"/>
  <c r="E34" i="2" s="1"/>
  <c r="E42" i="2" s="1"/>
  <c r="E56" i="2" s="1"/>
  <c r="E57" i="2" s="1"/>
  <c r="F55" i="2" s="1"/>
  <c r="F17" i="2"/>
  <c r="F22" i="2"/>
  <c r="G16" i="2"/>
  <c r="G11" i="2"/>
  <c r="H19" i="2"/>
  <c r="I20" i="2"/>
  <c r="I19" i="2" s="1"/>
  <c r="H45" i="2"/>
  <c r="H48" i="2" s="1"/>
  <c r="I4" i="2"/>
  <c r="H10" i="2"/>
  <c r="H13" i="2"/>
  <c r="H35" i="2" s="1"/>
  <c r="H11" i="2" l="1"/>
  <c r="H16" i="2"/>
  <c r="I10" i="2"/>
  <c r="I13" i="2"/>
  <c r="I35" i="2" s="1"/>
  <c r="I45" i="2"/>
  <c r="I48" i="2" s="1"/>
  <c r="G17" i="2"/>
  <c r="G22" i="2"/>
  <c r="F27" i="2"/>
  <c r="F34" i="2" s="1"/>
  <c r="F42" i="2" s="1"/>
  <c r="F56" i="2" s="1"/>
  <c r="F57" i="2" s="1"/>
  <c r="G55" i="2" s="1"/>
  <c r="F24" i="2"/>
  <c r="G27" i="2" l="1"/>
  <c r="G34" i="2" s="1"/>
  <c r="G42" i="2" s="1"/>
  <c r="G56" i="2" s="1"/>
  <c r="G57" i="2" s="1"/>
  <c r="H55" i="2" s="1"/>
  <c r="G24" i="2"/>
  <c r="I11" i="2"/>
  <c r="I16" i="2"/>
  <c r="H22" i="2"/>
  <c r="H17" i="2"/>
  <c r="H24" i="2" l="1"/>
  <c r="H27" i="2" s="1"/>
  <c r="H34" i="2" s="1"/>
  <c r="H42" i="2" s="1"/>
  <c r="H56" i="2" s="1"/>
  <c r="H57" i="2" s="1"/>
  <c r="I55" i="2" s="1"/>
  <c r="I17" i="2"/>
  <c r="I22" i="2"/>
  <c r="I24" i="2" l="1"/>
  <c r="I27" i="2" s="1"/>
  <c r="I34" i="2" s="1"/>
  <c r="I42" i="2" s="1"/>
  <c r="I56" i="2" s="1"/>
  <c r="I57" i="2" s="1"/>
</calcChain>
</file>

<file path=xl/sharedStrings.xml><?xml version="1.0" encoding="utf-8"?>
<sst xmlns="http://schemas.openxmlformats.org/spreadsheetml/2006/main" count="99" uniqueCount="94">
  <si>
    <t>Capital Structure</t>
  </si>
  <si>
    <t>$ amount</t>
  </si>
  <si>
    <t>% of capital structure</t>
  </si>
  <si>
    <t>Cost of capital (net of tax)</t>
  </si>
  <si>
    <t>Weighted Average Cost of Capital (WACC)</t>
  </si>
  <si>
    <t>Perpetuity Growth Rate</t>
  </si>
  <si>
    <t>Discounted Cash Flow Valuation</t>
  </si>
  <si>
    <t>Year 0</t>
  </si>
  <si>
    <t>Year 1</t>
  </si>
  <si>
    <t>Year 2</t>
  </si>
  <si>
    <t>Year 3</t>
  </si>
  <si>
    <t>Year 4</t>
  </si>
  <si>
    <t>Year 5</t>
  </si>
  <si>
    <t>Net Income</t>
  </si>
  <si>
    <t>"+" D&amp;A and other noncash charges</t>
  </si>
  <si>
    <t>"+" Interest*(1-tax rate)</t>
  </si>
  <si>
    <t>"-" Capital expenditures</t>
  </si>
  <si>
    <t>"+" Change in Working Capital</t>
  </si>
  <si>
    <t>Free Cash Flow to Firm</t>
  </si>
  <si>
    <t>Equity</t>
  </si>
  <si>
    <t>Forcast Period -&gt;</t>
  </si>
  <si>
    <t>Year 6</t>
  </si>
  <si>
    <t>Year 7</t>
  </si>
  <si>
    <t>Terminal Value</t>
  </si>
  <si>
    <t>Total cash flow to discount</t>
  </si>
  <si>
    <t>Enterprise Value (NPV of cash flows to firm)</t>
  </si>
  <si>
    <t>"+" Cash</t>
  </si>
  <si>
    <t>"-" Debt</t>
  </si>
  <si>
    <t>Equity Value</t>
  </si>
  <si>
    <t>Shares Outstanding</t>
  </si>
  <si>
    <t>Fair value per share</t>
  </si>
  <si>
    <t>Forecast Income Statement</t>
  </si>
  <si>
    <t>Forecast Period</t>
  </si>
  <si>
    <t>For the year ended</t>
  </si>
  <si>
    <t>Total revenue</t>
  </si>
  <si>
    <t>Revenue growth</t>
  </si>
  <si>
    <t>Operating expenses</t>
  </si>
  <si>
    <t>Operating expense growth</t>
  </si>
  <si>
    <t>EBITDA</t>
  </si>
  <si>
    <t>EBITDA margin</t>
  </si>
  <si>
    <t xml:space="preserve">Depreciation &amp; Amortization </t>
  </si>
  <si>
    <t>D&amp;A % of revenue</t>
  </si>
  <si>
    <t>EBIT</t>
  </si>
  <si>
    <t>EBIT margin</t>
  </si>
  <si>
    <t>Interest</t>
  </si>
  <si>
    <t>Interest rate</t>
  </si>
  <si>
    <t>EBT</t>
  </si>
  <si>
    <t>Tax</t>
  </si>
  <si>
    <t>Tax rate</t>
  </si>
  <si>
    <t>Net income</t>
  </si>
  <si>
    <t>Forecast Cashflow</t>
  </si>
  <si>
    <t xml:space="preserve">   + D&amp;A (non-cash)</t>
  </si>
  <si>
    <r>
      <rPr>
        <sz val="11"/>
        <color theme="1"/>
        <rFont val="Calibri"/>
        <family val="2"/>
        <scheme val="minor"/>
      </rPr>
      <t xml:space="preserve">   </t>
    </r>
    <r>
      <rPr>
        <u/>
        <sz val="11"/>
        <color theme="1"/>
        <rFont val="Calibri"/>
        <family val="2"/>
        <scheme val="minor"/>
      </rPr>
      <t>Changes in Net Working Capital</t>
    </r>
  </si>
  <si>
    <t xml:space="preserve">      - increase in inventory</t>
  </si>
  <si>
    <t xml:space="preserve">      - increase in accounts receivable </t>
  </si>
  <si>
    <t xml:space="preserve">      + increase in accounts payable</t>
  </si>
  <si>
    <t>Cash flow from operations</t>
  </si>
  <si>
    <t>Capital expenditures</t>
  </si>
  <si>
    <t>Capex % of revenue</t>
  </si>
  <si>
    <t>Cash flow from investment</t>
  </si>
  <si>
    <t>Debt paydown</t>
  </si>
  <si>
    <t>Debt borrowings</t>
  </si>
  <si>
    <t>Cash flow from Financing</t>
  </si>
  <si>
    <t>Beginning Cash Balance</t>
  </si>
  <si>
    <t>Net Cash Flow</t>
  </si>
  <si>
    <t>Ending Cash Balance</t>
  </si>
  <si>
    <t>Balance Sheet</t>
  </si>
  <si>
    <t>end of</t>
  </si>
  <si>
    <t>ASSETS</t>
  </si>
  <si>
    <t>Current Assets</t>
  </si>
  <si>
    <t>Cash at Bank</t>
  </si>
  <si>
    <t xml:space="preserve">Accounts Receivable </t>
  </si>
  <si>
    <t>AR turnover</t>
  </si>
  <si>
    <t>Total Current Assets</t>
  </si>
  <si>
    <t>Fixed Assets</t>
  </si>
  <si>
    <t xml:space="preserve">Gross PP&amp;E </t>
  </si>
  <si>
    <t>Less: Accumulated D&amp;A</t>
  </si>
  <si>
    <t>Net PP&amp;E (net of D&amp;A)</t>
  </si>
  <si>
    <t>TOTAL ASSETS</t>
  </si>
  <si>
    <t>LIABILITIES</t>
  </si>
  <si>
    <t>Current Liabilities</t>
  </si>
  <si>
    <t>Accounts Payable</t>
  </si>
  <si>
    <t>AP turnover</t>
  </si>
  <si>
    <t>Total Current Liabilities</t>
  </si>
  <si>
    <t>Long Term Liabilities</t>
  </si>
  <si>
    <t>Long Term Debt</t>
  </si>
  <si>
    <t>Total Long Term Liabilities</t>
  </si>
  <si>
    <t>EQUITY</t>
  </si>
  <si>
    <t>Owner's Funds</t>
  </si>
  <si>
    <t>Retained Earnings</t>
  </si>
  <si>
    <t>TOTAL EQUITY</t>
  </si>
  <si>
    <t>TOTAL LIABILITIES &amp; EQUITY</t>
  </si>
  <si>
    <t>error check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</si>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</sst>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&quot;Year &quot;0"/>
    <numFmt numFmtId="165" formatCode="&quot;$&quot;#,##0_);\(&quot;$&quot;#,##0\)"/>
    <numFmt numFmtId="166" formatCode="&quot;$&quot;#,##0"/>
    <numFmt numFmtId="167" formatCode="#,##0.0_);\(#,##0.0\)"/>
    <numFmt numFmtId="169" formatCode="_(* #,##0_);_(* \(#,##0\);_(* &quot;-&quot;??_);_(@_)"/>
    <numFmt numFmtId="170" formatCode="_-[$$-409]* #,##0.00_ ;_-[$$-409]* \-#,##0.00\ ;_-[$$-409]* &quot;-&quot;??_ ;_-@_ "/>
    <numFmt numFmtId="172" formatCode="_-[$$-409]* #,##0_ ;_-[$$-409]* \-#,##0\ ;_-[$$-409]* &quot;-&quot;??_ ;_-@_ "/>
    <numFmt numFmtId="193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6" fillId="0" borderId="0" xfId="0" applyFont="1"/>
    <xf numFmtId="0" fontId="3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left" indent="1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0" fillId="6" borderId="0" xfId="0" applyFill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3" borderId="0" xfId="5" applyBorder="1"/>
    <xf numFmtId="164" fontId="4" fillId="3" borderId="0" xfId="5" applyNumberFormat="1" applyBorder="1" applyAlignment="1">
      <alignment horizontal="center"/>
    </xf>
    <xf numFmtId="165" fontId="2" fillId="7" borderId="1" xfId="4" applyNumberFormat="1" applyFill="1"/>
    <xf numFmtId="165" fontId="3" fillId="0" borderId="0" xfId="0" applyNumberFormat="1" applyFont="1"/>
    <xf numFmtId="166" fontId="7" fillId="0" borderId="0" xfId="0" applyNumberFormat="1" applyFont="1" applyAlignment="1">
      <alignment horizontal="left" indent="1"/>
    </xf>
    <xf numFmtId="9" fontId="2" fillId="7" borderId="1" xfId="4" applyNumberFormat="1" applyFill="1"/>
    <xf numFmtId="165" fontId="0" fillId="0" borderId="0" xfId="0" applyNumberFormat="1"/>
    <xf numFmtId="165" fontId="8" fillId="0" borderId="0" xfId="0" applyNumberFormat="1" applyFont="1"/>
    <xf numFmtId="166" fontId="3" fillId="0" borderId="2" xfId="0" applyNumberFormat="1" applyFont="1" applyBorder="1"/>
    <xf numFmtId="165" fontId="3" fillId="0" borderId="2" xfId="0" applyNumberFormat="1" applyFont="1" applyBorder="1"/>
    <xf numFmtId="9" fontId="7" fillId="0" borderId="0" xfId="3" applyFont="1" applyBorder="1"/>
    <xf numFmtId="166" fontId="3" fillId="0" borderId="0" xfId="0" applyNumberFormat="1" applyFont="1"/>
    <xf numFmtId="166" fontId="0" fillId="0" borderId="0" xfId="0" applyNumberFormat="1"/>
    <xf numFmtId="165" fontId="2" fillId="2" borderId="1" xfId="4" applyNumberFormat="1"/>
    <xf numFmtId="166" fontId="2" fillId="2" borderId="1" xfId="4" applyNumberFormat="1"/>
    <xf numFmtId="166" fontId="1" fillId="4" borderId="0" xfId="6" applyNumberFormat="1" applyBorder="1"/>
    <xf numFmtId="165" fontId="1" fillId="4" borderId="0" xfId="6" applyNumberFormat="1" applyBorder="1"/>
    <xf numFmtId="166" fontId="6" fillId="0" borderId="0" xfId="0" applyNumberFormat="1" applyFont="1"/>
    <xf numFmtId="0" fontId="3" fillId="0" borderId="3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9" fillId="0" borderId="0" xfId="6" applyFont="1" applyFill="1" applyBorder="1" applyAlignment="1">
      <alignment horizontal="center"/>
    </xf>
    <xf numFmtId="164" fontId="9" fillId="0" borderId="0" xfId="6" applyNumberFormat="1" applyFont="1" applyFill="1" applyBorder="1" applyAlignment="1">
      <alignment horizontal="center"/>
    </xf>
    <xf numFmtId="166" fontId="10" fillId="0" borderId="0" xfId="0" applyNumberFormat="1" applyFont="1"/>
    <xf numFmtId="165" fontId="0" fillId="0" borderId="2" xfId="0" applyNumberFormat="1" applyBorder="1"/>
    <xf numFmtId="9" fontId="2" fillId="2" borderId="1" xfId="4" applyNumberFormat="1"/>
    <xf numFmtId="9" fontId="11" fillId="0" borderId="0" xfId="3" applyFont="1" applyBorder="1"/>
    <xf numFmtId="166" fontId="12" fillId="0" borderId="0" xfId="0" applyNumberFormat="1" applyFont="1"/>
    <xf numFmtId="0" fontId="4" fillId="3" borderId="0" xfId="5" applyBorder="1" applyAlignment="1">
      <alignment horizontal="left"/>
    </xf>
    <xf numFmtId="0" fontId="4" fillId="3" borderId="0" xfId="5" applyBorder="1" applyAlignment="1">
      <alignment horizontal="center"/>
    </xf>
    <xf numFmtId="0" fontId="13" fillId="0" borderId="0" xfId="0" applyFont="1"/>
    <xf numFmtId="167" fontId="14" fillId="0" borderId="0" xfId="0" applyNumberFormat="1" applyFont="1"/>
    <xf numFmtId="167" fontId="11" fillId="0" borderId="0" xfId="3" applyNumberFormat="1" applyFont="1" applyBorder="1"/>
    <xf numFmtId="0" fontId="1" fillId="4" borderId="0" xfId="6" applyBorder="1"/>
    <xf numFmtId="169" fontId="15" fillId="0" borderId="0" xfId="1" applyNumberFormat="1" applyFont="1" applyAlignment="1">
      <alignment horizontal="right"/>
    </xf>
    <xf numFmtId="169" fontId="16" fillId="0" borderId="0" xfId="1" applyNumberFormat="1" applyFont="1" applyBorder="1"/>
    <xf numFmtId="172" fontId="0" fillId="0" borderId="0" xfId="0" applyNumberFormat="1"/>
    <xf numFmtId="172" fontId="0" fillId="0" borderId="0" xfId="2" applyNumberFormat="1" applyFont="1"/>
    <xf numFmtId="9" fontId="0" fillId="0" borderId="0" xfId="3" applyFont="1"/>
    <xf numFmtId="10" fontId="0" fillId="0" borderId="0" xfId="0" applyNumberFormat="1"/>
    <xf numFmtId="193" fontId="0" fillId="0" borderId="2" xfId="3" applyNumberFormat="1" applyFont="1" applyBorder="1"/>
    <xf numFmtId="193" fontId="0" fillId="8" borderId="0" xfId="0" applyNumberFormat="1" applyFill="1"/>
    <xf numFmtId="172" fontId="0" fillId="6" borderId="0" xfId="0" applyNumberFormat="1" applyFill="1"/>
    <xf numFmtId="9" fontId="0" fillId="8" borderId="0" xfId="3" applyNumberFormat="1" applyFont="1" applyFill="1"/>
    <xf numFmtId="172" fontId="0" fillId="0" borderId="2" xfId="0" applyNumberFormat="1" applyBorder="1"/>
    <xf numFmtId="172" fontId="0" fillId="0" borderId="0" xfId="3" applyNumberFormat="1" applyFont="1"/>
    <xf numFmtId="172" fontId="3" fillId="0" borderId="0" xfId="0" applyNumberFormat="1" applyFont="1"/>
    <xf numFmtId="170" fontId="3" fillId="0" borderId="2" xfId="0" applyNumberFormat="1" applyFont="1" applyBorder="1"/>
    <xf numFmtId="172" fontId="0" fillId="8" borderId="0" xfId="0" applyNumberFormat="1" applyFill="1"/>
    <xf numFmtId="172" fontId="0" fillId="0" borderId="0" xfId="0" applyNumberFormat="1" applyFill="1"/>
  </cellXfs>
  <cellStyles count="7">
    <cellStyle name="60% - Accent4" xfId="6" builtinId="44"/>
    <cellStyle name="Accent4" xfId="5" builtinId="41"/>
    <cellStyle name="Comma" xfId="1" builtinId="3"/>
    <cellStyle name="Currency" xfId="2" builtinId="4"/>
    <cellStyle name="Input" xfId="4" builtinId="20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/Documents/Finance/FM/File%2011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heet"/>
      <sheetName val="IS Cash Flow"/>
      <sheetName val="DCF"/>
    </sheetNames>
    <sheetDataSet>
      <sheetData sheetId="0">
        <row r="6">
          <cell r="B6">
            <v>7500</v>
          </cell>
        </row>
        <row r="8">
          <cell r="B8">
            <v>12500</v>
          </cell>
          <cell r="C8">
            <v>13125.000000000002</v>
          </cell>
          <cell r="D8">
            <v>13781.250000000002</v>
          </cell>
          <cell r="E8">
            <v>14470.312500000004</v>
          </cell>
          <cell r="F8">
            <v>15193.828125000004</v>
          </cell>
          <cell r="G8">
            <v>15649.642968750004</v>
          </cell>
          <cell r="H8">
            <v>15962.635828125005</v>
          </cell>
          <cell r="I8">
            <v>16281.888544687505</v>
          </cell>
        </row>
        <row r="28">
          <cell r="B28">
            <v>30000</v>
          </cell>
          <cell r="C28">
            <v>30000</v>
          </cell>
          <cell r="D28">
            <v>30000</v>
          </cell>
          <cell r="E28">
            <v>30000</v>
          </cell>
          <cell r="F28">
            <v>30000</v>
          </cell>
          <cell r="G28">
            <v>30000</v>
          </cell>
          <cell r="H28">
            <v>30000</v>
          </cell>
        </row>
      </sheetData>
      <sheetData sheetId="1"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</row>
        <row r="4">
          <cell r="B4">
            <v>111754.8</v>
          </cell>
          <cell r="C4">
            <v>117342.54000000001</v>
          </cell>
          <cell r="D4">
            <v>123209.66700000002</v>
          </cell>
          <cell r="E4">
            <v>129370.15035000003</v>
          </cell>
          <cell r="F4">
            <v>135838.65786750003</v>
          </cell>
          <cell r="G4">
            <v>139913.81760352504</v>
          </cell>
          <cell r="H4">
            <v>142712.09395559554</v>
          </cell>
          <cell r="I4">
            <v>145566.33583470745</v>
          </cell>
        </row>
        <row r="13">
          <cell r="C13">
            <v>2625</v>
          </cell>
          <cell r="D13">
            <v>2756.2500000000005</v>
          </cell>
          <cell r="E13">
            <v>2894.0625000000005</v>
          </cell>
          <cell r="F13">
            <v>3038.7656250000005</v>
          </cell>
          <cell r="G13">
            <v>3129.9285937500008</v>
          </cell>
          <cell r="H13">
            <v>3192.5271656250006</v>
          </cell>
          <cell r="I13">
            <v>3256.3777089375008</v>
          </cell>
        </row>
        <row r="27">
          <cell r="C27">
            <v>16320.433886447119</v>
          </cell>
          <cell r="D27">
            <v>18843.562138077577</v>
          </cell>
          <cell r="E27">
            <v>21542.104153276377</v>
          </cell>
          <cell r="F27">
            <v>24426.30834075153</v>
          </cell>
          <cell r="G27">
            <v>26095.295128485453</v>
          </cell>
          <cell r="H27">
            <v>26643.278974154215</v>
          </cell>
          <cell r="I27">
            <v>27202.222496736344</v>
          </cell>
        </row>
        <row r="45">
          <cell r="C45">
            <v>-8213.9778000000006</v>
          </cell>
          <cell r="D45">
            <v>-8624.6766900000021</v>
          </cell>
          <cell r="E45">
            <v>-9055.9105245000028</v>
          </cell>
          <cell r="F45">
            <v>-9508.7060507250026</v>
          </cell>
          <cell r="G45">
            <v>-9793.9672322467541</v>
          </cell>
          <cell r="H45">
            <v>-9989.8465768916885</v>
          </cell>
          <cell r="I45">
            <v>-10189.643508429523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7">
          <cell r="C57">
            <v>17606.45608644712</v>
          </cell>
          <cell r="D57">
            <v>29925.341534524698</v>
          </cell>
          <cell r="E57">
            <v>44616.535163301072</v>
          </cell>
          <cell r="F57">
            <v>61849.387453327596</v>
          </cell>
          <cell r="G57">
            <v>80824.829099566297</v>
          </cell>
          <cell r="H57">
            <v>100357.79580307883</v>
          </cell>
          <cell r="I57">
            <v>120307.49978376065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A3F5-2228-4DA9-804A-4EF545C22E81}">
  <dimension ref="A1:I38"/>
  <sheetViews>
    <sheetView topLeftCell="A16" workbookViewId="0">
      <selection activeCell="A5" sqref="A5"/>
    </sheetView>
  </sheetViews>
  <sheetFormatPr defaultRowHeight="14.5" x14ac:dyDescent="0.35"/>
  <cols>
    <col min="1" max="1" width="35.54296875" customWidth="1"/>
    <col min="2" max="9" width="10.54296875" customWidth="1"/>
  </cols>
  <sheetData>
    <row r="1" spans="1:9" ht="18.5" x14ac:dyDescent="0.45">
      <c r="A1" s="34" t="s">
        <v>66</v>
      </c>
      <c r="B1" s="43"/>
      <c r="C1" s="15"/>
      <c r="D1" s="16"/>
      <c r="E1" s="16"/>
      <c r="F1" s="16"/>
      <c r="G1" s="16"/>
      <c r="H1" s="16"/>
      <c r="I1" s="16"/>
    </row>
    <row r="2" spans="1:9" ht="15" customHeight="1" x14ac:dyDescent="0.45">
      <c r="A2" s="34"/>
      <c r="B2" s="43"/>
      <c r="C2" s="15" t="s">
        <v>32</v>
      </c>
      <c r="D2" s="16"/>
      <c r="E2" s="16"/>
      <c r="F2" s="16"/>
      <c r="G2" s="16"/>
      <c r="H2" s="16"/>
      <c r="I2" s="16"/>
    </row>
    <row r="3" spans="1:9" ht="15" customHeight="1" x14ac:dyDescent="0.35">
      <c r="A3" s="44" t="s">
        <v>67</v>
      </c>
      <c r="B3" s="45" t="s">
        <v>7</v>
      </c>
      <c r="C3" s="18">
        <f>'[1]IS Cash Flow'!C3</f>
        <v>1</v>
      </c>
      <c r="D3" s="18">
        <f>'[1]IS Cash Flow'!D3</f>
        <v>2</v>
      </c>
      <c r="E3" s="18">
        <f>'[1]IS Cash Flow'!E3</f>
        <v>3</v>
      </c>
      <c r="F3" s="18">
        <f>'[1]IS Cash Flow'!F3</f>
        <v>4</v>
      </c>
      <c r="G3" s="18">
        <f>'[1]IS Cash Flow'!G3</f>
        <v>5</v>
      </c>
      <c r="H3" s="18">
        <f>'[1]IS Cash Flow'!H3</f>
        <v>6</v>
      </c>
      <c r="I3" s="18">
        <f>'[1]IS Cash Flow'!I3</f>
        <v>7</v>
      </c>
    </row>
    <row r="4" spans="1:9" x14ac:dyDescent="0.35">
      <c r="A4" s="1" t="s">
        <v>68</v>
      </c>
    </row>
    <row r="5" spans="1:9" x14ac:dyDescent="0.35">
      <c r="A5" s="46" t="s">
        <v>69</v>
      </c>
      <c r="B5" s="29"/>
      <c r="C5" s="29"/>
    </row>
    <row r="6" spans="1:9" x14ac:dyDescent="0.35">
      <c r="A6" t="s">
        <v>70</v>
      </c>
      <c r="B6" s="30">
        <v>7500</v>
      </c>
      <c r="C6" s="23">
        <f>'[1]IS Cash Flow'!C57</f>
        <v>17606.45608644712</v>
      </c>
      <c r="D6" s="23">
        <f>'[1]IS Cash Flow'!D57</f>
        <v>29925.341534524698</v>
      </c>
      <c r="E6" s="23">
        <f>'[1]IS Cash Flow'!E57</f>
        <v>44616.535163301072</v>
      </c>
      <c r="F6" s="23">
        <f>'[1]IS Cash Flow'!F57</f>
        <v>61849.387453327596</v>
      </c>
      <c r="G6" s="23">
        <f>'[1]IS Cash Flow'!G57</f>
        <v>80824.829099566297</v>
      </c>
      <c r="H6" s="23">
        <f>'[1]IS Cash Flow'!H57</f>
        <v>100357.79580307883</v>
      </c>
      <c r="I6" s="23">
        <f>'[1]IS Cash Flow'!I57</f>
        <v>120307.49978376065</v>
      </c>
    </row>
    <row r="7" spans="1:9" x14ac:dyDescent="0.35">
      <c r="B7" s="24"/>
      <c r="C7" s="23"/>
      <c r="D7" s="23"/>
      <c r="E7" s="23"/>
      <c r="F7" s="23"/>
      <c r="G7" s="23"/>
      <c r="H7" s="23"/>
      <c r="I7" s="23"/>
    </row>
    <row r="8" spans="1:9" x14ac:dyDescent="0.35">
      <c r="A8" t="s">
        <v>71</v>
      </c>
      <c r="B8" s="30">
        <v>12500</v>
      </c>
      <c r="C8" s="23">
        <f>'[1]IS Cash Flow'!C4/C9</f>
        <v>13125.000000000002</v>
      </c>
      <c r="D8" s="23">
        <f>'[1]IS Cash Flow'!D4/D9</f>
        <v>13781.250000000002</v>
      </c>
      <c r="E8" s="23">
        <f>'[1]IS Cash Flow'!E4/E9</f>
        <v>14470.312500000004</v>
      </c>
      <c r="F8" s="23">
        <f>'[1]IS Cash Flow'!F4/F9</f>
        <v>15193.828125000004</v>
      </c>
      <c r="G8" s="23">
        <f>'[1]IS Cash Flow'!G4/G9</f>
        <v>15649.642968750004</v>
      </c>
      <c r="H8" s="23">
        <f>'[1]IS Cash Flow'!H4/H9</f>
        <v>15962.635828125005</v>
      </c>
      <c r="I8" s="23">
        <f>'[1]IS Cash Flow'!I4/I9</f>
        <v>16281.888544687505</v>
      </c>
    </row>
    <row r="9" spans="1:9" x14ac:dyDescent="0.35">
      <c r="A9" s="21" t="s">
        <v>72</v>
      </c>
      <c r="B9" s="47">
        <f>'[1]IS Cash Flow'!B4/'[1]Bal Sheet'!B8</f>
        <v>8.9403839999999999</v>
      </c>
      <c r="C9" s="47">
        <f>B9</f>
        <v>8.9403839999999999</v>
      </c>
      <c r="D9" s="47">
        <f t="shared" ref="D9:I9" si="0">C9</f>
        <v>8.9403839999999999</v>
      </c>
      <c r="E9" s="47">
        <f t="shared" si="0"/>
        <v>8.9403839999999999</v>
      </c>
      <c r="F9" s="47">
        <f t="shared" si="0"/>
        <v>8.9403839999999999</v>
      </c>
      <c r="G9" s="47">
        <f t="shared" si="0"/>
        <v>8.9403839999999999</v>
      </c>
      <c r="H9" s="47">
        <f t="shared" si="0"/>
        <v>8.9403839999999999</v>
      </c>
      <c r="I9" s="47">
        <f t="shared" si="0"/>
        <v>8.9403839999999999</v>
      </c>
    </row>
    <row r="10" spans="1:9" x14ac:dyDescent="0.35">
      <c r="A10" s="21"/>
      <c r="B10" s="47"/>
      <c r="C10" s="48"/>
      <c r="D10" s="48"/>
      <c r="E10" s="48"/>
      <c r="F10" s="48"/>
      <c r="G10" s="48"/>
      <c r="H10" s="48"/>
      <c r="I10" s="48"/>
    </row>
    <row r="11" spans="1:9" x14ac:dyDescent="0.35">
      <c r="A11" s="3" t="s">
        <v>73</v>
      </c>
      <c r="B11" s="26">
        <f>SUM(B6,B8)</f>
        <v>20000</v>
      </c>
      <c r="C11" s="26">
        <f t="shared" ref="C11:I11" si="1">SUM(C6,C8)</f>
        <v>30731.45608644712</v>
      </c>
      <c r="D11" s="26">
        <f t="shared" si="1"/>
        <v>43706.591534524698</v>
      </c>
      <c r="E11" s="26">
        <f t="shared" si="1"/>
        <v>59086.847663301072</v>
      </c>
      <c r="F11" s="26">
        <f t="shared" si="1"/>
        <v>77043.215578327596</v>
      </c>
      <c r="G11" s="26">
        <f t="shared" si="1"/>
        <v>96474.472068316303</v>
      </c>
      <c r="H11" s="26">
        <f t="shared" si="1"/>
        <v>116320.43163120383</v>
      </c>
      <c r="I11" s="26">
        <f t="shared" si="1"/>
        <v>136589.38832844814</v>
      </c>
    </row>
    <row r="12" spans="1:9" x14ac:dyDescent="0.35">
      <c r="B12" s="29"/>
      <c r="C12" s="29"/>
    </row>
    <row r="13" spans="1:9" x14ac:dyDescent="0.35">
      <c r="A13" s="46" t="s">
        <v>74</v>
      </c>
      <c r="B13" s="29"/>
      <c r="C13" s="29"/>
    </row>
    <row r="14" spans="1:9" x14ac:dyDescent="0.35">
      <c r="A14" t="s">
        <v>75</v>
      </c>
      <c r="B14" s="30">
        <v>30000</v>
      </c>
      <c r="C14" s="23">
        <f>B14-'[1]IS Cash Flow'!C45</f>
        <v>38213.977800000001</v>
      </c>
      <c r="D14" s="23">
        <f>C14-'[1]IS Cash Flow'!D45</f>
        <v>46838.654490000001</v>
      </c>
      <c r="E14" s="23">
        <f>D14-'[1]IS Cash Flow'!E45</f>
        <v>55894.565014500004</v>
      </c>
      <c r="F14" s="23">
        <f>E14-'[1]IS Cash Flow'!F45</f>
        <v>65403.27106522501</v>
      </c>
      <c r="G14" s="23">
        <f>F14-'[1]IS Cash Flow'!G45</f>
        <v>75197.238297471762</v>
      </c>
      <c r="H14" s="23">
        <f>G14-'[1]IS Cash Flow'!H45</f>
        <v>85187.084874363456</v>
      </c>
      <c r="I14" s="23">
        <f>H14-'[1]IS Cash Flow'!I45</f>
        <v>95376.728382792979</v>
      </c>
    </row>
    <row r="15" spans="1:9" x14ac:dyDescent="0.35">
      <c r="A15" t="s">
        <v>76</v>
      </c>
      <c r="B15" s="30">
        <v>0</v>
      </c>
      <c r="C15" s="23">
        <f>-'[1]IS Cash Flow'!C13+B15</f>
        <v>-2625</v>
      </c>
      <c r="D15" s="23">
        <f>-'[1]IS Cash Flow'!D13+C15</f>
        <v>-5381.25</v>
      </c>
      <c r="E15" s="23">
        <f>-'[1]IS Cash Flow'!E13+D15</f>
        <v>-8275.3125</v>
      </c>
      <c r="F15" s="23">
        <f>-'[1]IS Cash Flow'!F13+E15</f>
        <v>-11314.078125</v>
      </c>
      <c r="G15" s="23">
        <f>-'[1]IS Cash Flow'!G13+F15</f>
        <v>-14444.006718750001</v>
      </c>
      <c r="H15" s="23">
        <f>-'[1]IS Cash Flow'!H13+G15</f>
        <v>-17636.533884375</v>
      </c>
      <c r="I15" s="23">
        <f>-'[1]IS Cash Flow'!I13+H15</f>
        <v>-20892.911593312499</v>
      </c>
    </row>
    <row r="16" spans="1:9" x14ac:dyDescent="0.35">
      <c r="A16" s="3" t="s">
        <v>77</v>
      </c>
      <c r="B16" s="26">
        <f>SUM(B14:B15)</f>
        <v>30000</v>
      </c>
      <c r="C16" s="26">
        <f t="shared" ref="C16:I16" si="2">SUM(C14:C15)</f>
        <v>35588.977800000001</v>
      </c>
      <c r="D16" s="26">
        <f t="shared" si="2"/>
        <v>41457.404490000001</v>
      </c>
      <c r="E16" s="26">
        <f t="shared" si="2"/>
        <v>47619.252514500004</v>
      </c>
      <c r="F16" s="26">
        <f t="shared" si="2"/>
        <v>54089.19294022501</v>
      </c>
      <c r="G16" s="26">
        <f t="shared" si="2"/>
        <v>60753.231578721759</v>
      </c>
      <c r="H16" s="26">
        <f t="shared" si="2"/>
        <v>67550.550989988464</v>
      </c>
      <c r="I16" s="26">
        <f t="shared" si="2"/>
        <v>74483.816789480479</v>
      </c>
    </row>
    <row r="17" spans="1:9" x14ac:dyDescent="0.35">
      <c r="B17" s="23"/>
      <c r="C17" s="23"/>
    </row>
    <row r="18" spans="1:9" x14ac:dyDescent="0.35">
      <c r="A18" s="49" t="s">
        <v>78</v>
      </c>
      <c r="B18" s="33">
        <f>B16+B11</f>
        <v>50000</v>
      </c>
      <c r="C18" s="33">
        <f t="shared" ref="C18:I18" si="3">C16+C11</f>
        <v>66320.433886447121</v>
      </c>
      <c r="D18" s="33">
        <f t="shared" si="3"/>
        <v>85163.996024524706</v>
      </c>
      <c r="E18" s="33">
        <f t="shared" si="3"/>
        <v>106706.10017780107</v>
      </c>
      <c r="F18" s="33">
        <f t="shared" si="3"/>
        <v>131132.40851855261</v>
      </c>
      <c r="G18" s="33">
        <f t="shared" si="3"/>
        <v>157227.70364703806</v>
      </c>
      <c r="H18" s="33">
        <f t="shared" si="3"/>
        <v>183870.98262119229</v>
      </c>
      <c r="I18" s="33">
        <f t="shared" si="3"/>
        <v>211073.20511792862</v>
      </c>
    </row>
    <row r="19" spans="1:9" x14ac:dyDescent="0.35">
      <c r="B19" s="29"/>
    </row>
    <row r="20" spans="1:9" x14ac:dyDescent="0.35">
      <c r="A20" s="1" t="s">
        <v>79</v>
      </c>
      <c r="B20" s="29"/>
    </row>
    <row r="21" spans="1:9" x14ac:dyDescent="0.35">
      <c r="A21" s="46" t="s">
        <v>80</v>
      </c>
      <c r="B21" s="29"/>
    </row>
    <row r="22" spans="1:9" x14ac:dyDescent="0.35">
      <c r="A22" t="s">
        <v>81</v>
      </c>
      <c r="B22" s="29"/>
      <c r="C22" s="23"/>
      <c r="D22" s="23"/>
      <c r="E22" s="23"/>
      <c r="F22" s="23"/>
      <c r="G22" s="23"/>
      <c r="H22" s="23"/>
      <c r="I22" s="23"/>
    </row>
    <row r="23" spans="1:9" x14ac:dyDescent="0.35">
      <c r="A23" s="21" t="s">
        <v>82</v>
      </c>
      <c r="B23" s="47"/>
      <c r="C23" s="47"/>
      <c r="D23" s="47"/>
      <c r="E23" s="47"/>
      <c r="F23" s="47"/>
      <c r="G23" s="47"/>
      <c r="H23" s="47"/>
      <c r="I23" s="47"/>
    </row>
    <row r="24" spans="1:9" x14ac:dyDescent="0.35">
      <c r="B24" s="24"/>
      <c r="C24" s="23"/>
      <c r="D24" s="23"/>
      <c r="E24" s="23"/>
      <c r="F24" s="23"/>
      <c r="G24" s="23"/>
      <c r="H24" s="23"/>
      <c r="I24" s="23"/>
    </row>
    <row r="25" spans="1:9" x14ac:dyDescent="0.35">
      <c r="A25" s="3" t="s">
        <v>83</v>
      </c>
      <c r="B25" s="26">
        <f>SUM(B22)</f>
        <v>0</v>
      </c>
      <c r="C25" s="26">
        <f t="shared" ref="C25:I25" si="4">SUM(C22)</f>
        <v>0</v>
      </c>
      <c r="D25" s="26">
        <f t="shared" si="4"/>
        <v>0</v>
      </c>
      <c r="E25" s="26">
        <f t="shared" si="4"/>
        <v>0</v>
      </c>
      <c r="F25" s="26">
        <f t="shared" si="4"/>
        <v>0</v>
      </c>
      <c r="G25" s="26">
        <f t="shared" si="4"/>
        <v>0</v>
      </c>
      <c r="H25" s="26">
        <f t="shared" si="4"/>
        <v>0</v>
      </c>
      <c r="I25" s="26">
        <f t="shared" si="4"/>
        <v>0</v>
      </c>
    </row>
    <row r="26" spans="1:9" x14ac:dyDescent="0.35">
      <c r="B26" s="29"/>
    </row>
    <row r="27" spans="1:9" x14ac:dyDescent="0.35">
      <c r="A27" s="46" t="s">
        <v>84</v>
      </c>
      <c r="B27" s="29"/>
    </row>
    <row r="28" spans="1:9" x14ac:dyDescent="0.35">
      <c r="A28" t="s">
        <v>85</v>
      </c>
      <c r="B28" s="30">
        <v>30000</v>
      </c>
      <c r="C28" s="23">
        <f>B28+'[1]IS Cash Flow'!C51-'[1]IS Cash Flow'!C52</f>
        <v>30000</v>
      </c>
      <c r="D28" s="23">
        <f>C28+'[1]IS Cash Flow'!D51-'[1]IS Cash Flow'!D52</f>
        <v>30000</v>
      </c>
      <c r="E28" s="23">
        <f>D28+'[1]IS Cash Flow'!E51-'[1]IS Cash Flow'!E52</f>
        <v>30000</v>
      </c>
      <c r="F28" s="23">
        <f>E28+'[1]IS Cash Flow'!F51-'[1]IS Cash Flow'!F52</f>
        <v>30000</v>
      </c>
      <c r="G28" s="23">
        <f>F28+'[1]IS Cash Flow'!G51-'[1]IS Cash Flow'!G52</f>
        <v>30000</v>
      </c>
      <c r="H28" s="23">
        <f>G28+'[1]IS Cash Flow'!H51-'[1]IS Cash Flow'!H52</f>
        <v>30000</v>
      </c>
      <c r="I28" s="23">
        <f>H28+'[1]IS Cash Flow'!I51-'[1]IS Cash Flow'!I52</f>
        <v>30000</v>
      </c>
    </row>
    <row r="29" spans="1:9" x14ac:dyDescent="0.35">
      <c r="A29" s="3" t="s">
        <v>86</v>
      </c>
      <c r="B29" s="26">
        <f>SUM(B28)</f>
        <v>30000</v>
      </c>
      <c r="C29" s="26">
        <f t="shared" ref="C29:I29" si="5">SUM(C28)</f>
        <v>30000</v>
      </c>
      <c r="D29" s="26">
        <f t="shared" si="5"/>
        <v>30000</v>
      </c>
      <c r="E29" s="26">
        <f t="shared" si="5"/>
        <v>30000</v>
      </c>
      <c r="F29" s="26">
        <f t="shared" si="5"/>
        <v>30000</v>
      </c>
      <c r="G29" s="26">
        <f t="shared" si="5"/>
        <v>30000</v>
      </c>
      <c r="H29" s="26">
        <f t="shared" si="5"/>
        <v>30000</v>
      </c>
      <c r="I29" s="26">
        <f t="shared" si="5"/>
        <v>30000</v>
      </c>
    </row>
    <row r="30" spans="1:9" x14ac:dyDescent="0.35">
      <c r="A30" s="1"/>
      <c r="B30" s="28"/>
      <c r="C30" s="28"/>
    </row>
    <row r="31" spans="1:9" x14ac:dyDescent="0.35">
      <c r="A31" s="1" t="s">
        <v>87</v>
      </c>
      <c r="B31" s="29"/>
    </row>
    <row r="32" spans="1:9" x14ac:dyDescent="0.35">
      <c r="A32" t="s">
        <v>88</v>
      </c>
      <c r="B32" s="30">
        <v>20000</v>
      </c>
      <c r="C32" s="23">
        <f>B32</f>
        <v>20000</v>
      </c>
      <c r="D32" s="23">
        <f t="shared" ref="D32:I32" si="6">C32</f>
        <v>20000</v>
      </c>
      <c r="E32" s="23">
        <f t="shared" si="6"/>
        <v>20000</v>
      </c>
      <c r="F32" s="23">
        <f t="shared" si="6"/>
        <v>20000</v>
      </c>
      <c r="G32" s="23">
        <f t="shared" si="6"/>
        <v>20000</v>
      </c>
      <c r="H32" s="23">
        <f t="shared" si="6"/>
        <v>20000</v>
      </c>
      <c r="I32" s="23">
        <f t="shared" si="6"/>
        <v>20000</v>
      </c>
    </row>
    <row r="33" spans="1:9" x14ac:dyDescent="0.35">
      <c r="A33" t="s">
        <v>89</v>
      </c>
      <c r="B33" s="30">
        <v>0</v>
      </c>
      <c r="C33" s="23">
        <f>B33+'[1]IS Cash Flow'!C27</f>
        <v>16320.433886447119</v>
      </c>
      <c r="D33" s="23">
        <f>C33+'[1]IS Cash Flow'!D27</f>
        <v>35163.996024524698</v>
      </c>
      <c r="E33" s="23">
        <f>D33+'[1]IS Cash Flow'!E27</f>
        <v>56706.100177801076</v>
      </c>
      <c r="F33" s="23">
        <f>E33+'[1]IS Cash Flow'!F27</f>
        <v>81132.408518552606</v>
      </c>
      <c r="G33" s="23">
        <f>F33+'[1]IS Cash Flow'!G27</f>
        <v>107227.70364703806</v>
      </c>
      <c r="H33" s="23">
        <f>G33+'[1]IS Cash Flow'!H27</f>
        <v>133870.98262119226</v>
      </c>
      <c r="I33" s="23">
        <f>H33+'[1]IS Cash Flow'!I27</f>
        <v>161073.20511792862</v>
      </c>
    </row>
    <row r="34" spans="1:9" x14ac:dyDescent="0.35">
      <c r="A34" s="3" t="s">
        <v>90</v>
      </c>
      <c r="B34" s="26">
        <f>SUM(B32:B33)</f>
        <v>20000</v>
      </c>
      <c r="C34" s="26">
        <f>SUM(C32:C33)</f>
        <v>36320.433886447121</v>
      </c>
      <c r="D34" s="26">
        <f t="shared" ref="D34:I34" si="7">SUM(D32:D33)</f>
        <v>55163.996024524698</v>
      </c>
      <c r="E34" s="26">
        <f t="shared" si="7"/>
        <v>76706.100177801069</v>
      </c>
      <c r="F34" s="26">
        <f t="shared" si="7"/>
        <v>101132.40851855261</v>
      </c>
      <c r="G34" s="26">
        <f t="shared" si="7"/>
        <v>127227.70364703806</v>
      </c>
      <c r="H34" s="26">
        <f t="shared" si="7"/>
        <v>153870.98262119226</v>
      </c>
      <c r="I34" s="26">
        <f t="shared" si="7"/>
        <v>181073.20511792862</v>
      </c>
    </row>
    <row r="35" spans="1:9" x14ac:dyDescent="0.35">
      <c r="B35" s="23"/>
      <c r="C35" s="23"/>
    </row>
    <row r="36" spans="1:9" x14ac:dyDescent="0.35">
      <c r="A36" s="49" t="s">
        <v>91</v>
      </c>
      <c r="B36" s="33">
        <f>SUM(B25,B29,B34)</f>
        <v>50000</v>
      </c>
      <c r="C36" s="33">
        <f t="shared" ref="C36:I36" si="8">SUM(C25,C29,C34)</f>
        <v>66320.433886447121</v>
      </c>
      <c r="D36" s="33">
        <f t="shared" si="8"/>
        <v>85163.996024524706</v>
      </c>
      <c r="E36" s="33">
        <f t="shared" si="8"/>
        <v>106706.10017780107</v>
      </c>
      <c r="F36" s="33">
        <f t="shared" si="8"/>
        <v>131132.40851855261</v>
      </c>
      <c r="G36" s="33">
        <f t="shared" si="8"/>
        <v>157227.70364703806</v>
      </c>
      <c r="H36" s="33">
        <f t="shared" si="8"/>
        <v>183870.98262119226</v>
      </c>
      <c r="I36" s="33">
        <f t="shared" si="8"/>
        <v>211073.20511792862</v>
      </c>
    </row>
    <row r="37" spans="1:9" x14ac:dyDescent="0.35">
      <c r="A37" s="1"/>
      <c r="B37" s="20"/>
      <c r="C37" s="20"/>
      <c r="D37" s="20"/>
      <c r="E37" s="20"/>
      <c r="F37" s="20"/>
      <c r="G37" s="20"/>
      <c r="H37" s="20"/>
      <c r="I37" s="20"/>
    </row>
    <row r="38" spans="1:9" x14ac:dyDescent="0.35">
      <c r="A38" s="50" t="s">
        <v>92</v>
      </c>
      <c r="B38" s="51">
        <f>B36-B18</f>
        <v>0</v>
      </c>
      <c r="C38" s="51">
        <f>C36-C18</f>
        <v>0</v>
      </c>
      <c r="D38" s="51">
        <f t="shared" ref="D38:I38" si="9">D36-D18</f>
        <v>0</v>
      </c>
      <c r="E38" s="51">
        <f t="shared" si="9"/>
        <v>0</v>
      </c>
      <c r="F38" s="51">
        <f t="shared" si="9"/>
        <v>0</v>
      </c>
      <c r="G38" s="51">
        <f t="shared" si="9"/>
        <v>0</v>
      </c>
      <c r="H38" s="51">
        <f t="shared" si="9"/>
        <v>0</v>
      </c>
      <c r="I38" s="51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1107-405F-4B46-8B5C-E995A56108C5}">
  <dimension ref="A1:I88"/>
  <sheetViews>
    <sheetView topLeftCell="A46" workbookViewId="0">
      <selection activeCell="K52" sqref="K52"/>
    </sheetView>
  </sheetViews>
  <sheetFormatPr defaultColWidth="9" defaultRowHeight="14.5" x14ac:dyDescent="0.35"/>
  <cols>
    <col min="1" max="1" width="35.54296875" customWidth="1"/>
    <col min="2" max="9" width="10.54296875" customWidth="1"/>
  </cols>
  <sheetData>
    <row r="1" spans="1:9" ht="18.5" x14ac:dyDescent="0.45">
      <c r="A1" s="2" t="s">
        <v>31</v>
      </c>
    </row>
    <row r="2" spans="1:9" ht="15" customHeight="1" x14ac:dyDescent="0.45">
      <c r="A2" s="2"/>
      <c r="C2" s="15" t="s">
        <v>32</v>
      </c>
      <c r="D2" s="16"/>
      <c r="E2" s="16"/>
      <c r="F2" s="16"/>
      <c r="G2" s="16"/>
      <c r="H2" s="16"/>
      <c r="I2" s="16"/>
    </row>
    <row r="3" spans="1:9" ht="15" customHeight="1" x14ac:dyDescent="0.35">
      <c r="A3" s="17" t="s">
        <v>33</v>
      </c>
      <c r="B3" s="18">
        <v>0</v>
      </c>
      <c r="C3" s="18">
        <f>B3+1</f>
        <v>1</v>
      </c>
      <c r="D3" s="18">
        <f>C3+1</f>
        <v>2</v>
      </c>
      <c r="E3" s="18">
        <f t="shared" ref="E3:I3" si="0">D3+1</f>
        <v>3</v>
      </c>
      <c r="F3" s="18">
        <f t="shared" si="0"/>
        <v>4</v>
      </c>
      <c r="G3" s="18">
        <f t="shared" si="0"/>
        <v>5</v>
      </c>
      <c r="H3" s="18">
        <f t="shared" si="0"/>
        <v>6</v>
      </c>
      <c r="I3" s="18">
        <f t="shared" si="0"/>
        <v>7</v>
      </c>
    </row>
    <row r="4" spans="1:9" x14ac:dyDescent="0.35">
      <c r="A4" s="1" t="s">
        <v>34</v>
      </c>
      <c r="B4" s="19">
        <v>111754.8</v>
      </c>
      <c r="C4" s="20">
        <f>B4*(1+C5)</f>
        <v>117342.54000000001</v>
      </c>
      <c r="D4" s="20">
        <f t="shared" ref="D4:I4" si="1">C4*(1+D5)</f>
        <v>123209.66700000002</v>
      </c>
      <c r="E4" s="20">
        <f t="shared" si="1"/>
        <v>129370.15035000003</v>
      </c>
      <c r="F4" s="20">
        <f t="shared" si="1"/>
        <v>135838.65786750003</v>
      </c>
      <c r="G4" s="20">
        <f t="shared" si="1"/>
        <v>139913.81760352504</v>
      </c>
      <c r="H4" s="20">
        <f t="shared" si="1"/>
        <v>142712.09395559554</v>
      </c>
      <c r="I4" s="20">
        <f t="shared" si="1"/>
        <v>145566.33583470745</v>
      </c>
    </row>
    <row r="5" spans="1:9" x14ac:dyDescent="0.35">
      <c r="A5" s="21" t="s">
        <v>35</v>
      </c>
      <c r="B5" s="1"/>
      <c r="C5" s="22">
        <v>5.0000000000000044E-2</v>
      </c>
      <c r="D5" s="22">
        <v>5.0000000000000044E-2</v>
      </c>
      <c r="E5" s="22">
        <v>5.0000000000000044E-2</v>
      </c>
      <c r="F5" s="22">
        <v>5.0000000000000044E-2</v>
      </c>
      <c r="G5" s="22">
        <v>0.03</v>
      </c>
      <c r="H5" s="22">
        <v>0.02</v>
      </c>
      <c r="I5" s="22">
        <v>2.0000000000000018E-2</v>
      </c>
    </row>
    <row r="6" spans="1:9" x14ac:dyDescent="0.35">
      <c r="C6" s="23"/>
      <c r="D6" s="23"/>
      <c r="E6" s="23"/>
      <c r="F6" s="23"/>
      <c r="G6" s="23"/>
      <c r="H6" s="23"/>
      <c r="I6" s="23"/>
    </row>
    <row r="7" spans="1:9" x14ac:dyDescent="0.35">
      <c r="A7" t="s">
        <v>36</v>
      </c>
      <c r="B7" s="19">
        <v>91691.8</v>
      </c>
      <c r="C7" s="23">
        <f>B7*(1+C8)</f>
        <v>94442.554000000004</v>
      </c>
      <c r="D7" s="23">
        <f t="shared" ref="D7:I7" si="2">C7*(1+D8)</f>
        <v>97275.830620000008</v>
      </c>
      <c r="E7" s="23">
        <f t="shared" si="2"/>
        <v>100194.10553860001</v>
      </c>
      <c r="F7" s="23">
        <f t="shared" si="2"/>
        <v>103199.92870475801</v>
      </c>
      <c r="G7" s="23">
        <f t="shared" si="2"/>
        <v>105263.92727885318</v>
      </c>
      <c r="H7" s="23">
        <f t="shared" si="2"/>
        <v>107369.20582443025</v>
      </c>
      <c r="I7" s="23">
        <f t="shared" si="2"/>
        <v>109516.58994091886</v>
      </c>
    </row>
    <row r="8" spans="1:9" x14ac:dyDescent="0.35">
      <c r="A8" s="21" t="s">
        <v>37</v>
      </c>
      <c r="B8" s="1"/>
      <c r="C8" s="22">
        <v>0.03</v>
      </c>
      <c r="D8" s="22">
        <v>0.03</v>
      </c>
      <c r="E8" s="22">
        <v>0.03</v>
      </c>
      <c r="F8" s="22">
        <v>0.03</v>
      </c>
      <c r="G8" s="22">
        <v>0.02</v>
      </c>
      <c r="H8" s="22">
        <v>0.02</v>
      </c>
      <c r="I8" s="22">
        <v>0.02</v>
      </c>
    </row>
    <row r="9" spans="1:9" x14ac:dyDescent="0.35">
      <c r="B9" s="24"/>
      <c r="C9" s="23"/>
      <c r="D9" s="23"/>
      <c r="E9" s="23"/>
      <c r="F9" s="23"/>
      <c r="G9" s="23"/>
      <c r="H9" s="23"/>
      <c r="I9" s="23"/>
    </row>
    <row r="10" spans="1:9" x14ac:dyDescent="0.35">
      <c r="A10" s="25" t="s">
        <v>38</v>
      </c>
      <c r="B10" s="26">
        <f>B4-B7</f>
        <v>20063</v>
      </c>
      <c r="C10" s="26">
        <f t="shared" ref="C10:I10" si="3">C4-C7</f>
        <v>22899.986000000004</v>
      </c>
      <c r="D10" s="26">
        <f t="shared" si="3"/>
        <v>25933.836380000008</v>
      </c>
      <c r="E10" s="26">
        <f t="shared" si="3"/>
        <v>29176.044811400017</v>
      </c>
      <c r="F10" s="26">
        <f t="shared" si="3"/>
        <v>32638.72916274202</v>
      </c>
      <c r="G10" s="26">
        <f t="shared" si="3"/>
        <v>34649.890324671855</v>
      </c>
      <c r="H10" s="26">
        <f t="shared" si="3"/>
        <v>35342.888131165295</v>
      </c>
      <c r="I10" s="26">
        <f t="shared" si="3"/>
        <v>36049.745893788597</v>
      </c>
    </row>
    <row r="11" spans="1:9" x14ac:dyDescent="0.35">
      <c r="A11" s="21" t="s">
        <v>39</v>
      </c>
      <c r="B11" s="27">
        <f t="shared" ref="B11:I11" si="4">B10/B4</f>
        <v>0.17952696438989646</v>
      </c>
      <c r="C11" s="27">
        <f t="shared" si="4"/>
        <v>0.19515502221104131</v>
      </c>
      <c r="D11" s="27">
        <f t="shared" si="4"/>
        <v>0.21048540274035482</v>
      </c>
      <c r="E11" s="27">
        <f t="shared" si="4"/>
        <v>0.22552377602149096</v>
      </c>
      <c r="F11" s="27">
        <f t="shared" si="4"/>
        <v>0.24027570409727209</v>
      </c>
      <c r="G11" s="27">
        <f t="shared" si="4"/>
        <v>0.24765166813516262</v>
      </c>
      <c r="H11" s="27">
        <f t="shared" si="4"/>
        <v>0.24765166813516262</v>
      </c>
      <c r="I11" s="27">
        <f t="shared" si="4"/>
        <v>0.24765166813516259</v>
      </c>
    </row>
    <row r="12" spans="1:9" x14ac:dyDescent="0.35">
      <c r="A12" s="28"/>
      <c r="B12" s="28"/>
      <c r="C12" s="23"/>
      <c r="D12" s="23"/>
      <c r="E12" s="23"/>
      <c r="F12" s="23"/>
      <c r="G12" s="23"/>
      <c r="H12" s="23"/>
      <c r="I12" s="23"/>
    </row>
    <row r="13" spans="1:9" x14ac:dyDescent="0.35">
      <c r="A13" s="29" t="s">
        <v>40</v>
      </c>
      <c r="B13" s="30">
        <v>2500</v>
      </c>
      <c r="C13" s="23">
        <f t="shared" ref="C13:I13" si="5">C4*C14</f>
        <v>2625</v>
      </c>
      <c r="D13" s="23">
        <f t="shared" si="5"/>
        <v>2756.2500000000005</v>
      </c>
      <c r="E13" s="23">
        <f t="shared" si="5"/>
        <v>2894.0625000000005</v>
      </c>
      <c r="F13" s="23">
        <f t="shared" si="5"/>
        <v>3038.7656250000005</v>
      </c>
      <c r="G13" s="23">
        <f t="shared" si="5"/>
        <v>3129.9285937500008</v>
      </c>
      <c r="H13" s="23">
        <f t="shared" si="5"/>
        <v>3192.5271656250006</v>
      </c>
      <c r="I13" s="23">
        <f t="shared" si="5"/>
        <v>3256.3777089375008</v>
      </c>
    </row>
    <row r="14" spans="1:9" x14ac:dyDescent="0.35">
      <c r="A14" s="21" t="s">
        <v>41</v>
      </c>
      <c r="B14" s="27">
        <f>B13/B4</f>
        <v>2.2370403776840009E-2</v>
      </c>
      <c r="C14" s="27">
        <f>B14</f>
        <v>2.2370403776840009E-2</v>
      </c>
      <c r="D14" s="27">
        <f t="shared" ref="D14:I14" si="6">C14</f>
        <v>2.2370403776840009E-2</v>
      </c>
      <c r="E14" s="27">
        <f t="shared" si="6"/>
        <v>2.2370403776840009E-2</v>
      </c>
      <c r="F14" s="27">
        <f t="shared" si="6"/>
        <v>2.2370403776840009E-2</v>
      </c>
      <c r="G14" s="27">
        <f t="shared" si="6"/>
        <v>2.2370403776840009E-2</v>
      </c>
      <c r="H14" s="27">
        <f t="shared" si="6"/>
        <v>2.2370403776840009E-2</v>
      </c>
      <c r="I14" s="27">
        <f t="shared" si="6"/>
        <v>2.2370403776840009E-2</v>
      </c>
    </row>
    <row r="15" spans="1:9" x14ac:dyDescent="0.35">
      <c r="A15" s="29"/>
      <c r="B15" s="23"/>
      <c r="C15" s="23"/>
      <c r="D15" s="23"/>
      <c r="E15" s="23"/>
      <c r="F15" s="23"/>
      <c r="G15" s="23"/>
      <c r="H15" s="23"/>
      <c r="I15" s="23"/>
    </row>
    <row r="16" spans="1:9" x14ac:dyDescent="0.35">
      <c r="A16" s="25" t="s">
        <v>42</v>
      </c>
      <c r="B16" s="26">
        <f t="shared" ref="B16:I16" si="7">B10-B13</f>
        <v>17563</v>
      </c>
      <c r="C16" s="26">
        <f t="shared" si="7"/>
        <v>20274.986000000004</v>
      </c>
      <c r="D16" s="26">
        <f t="shared" si="7"/>
        <v>23177.586380000008</v>
      </c>
      <c r="E16" s="26">
        <f t="shared" si="7"/>
        <v>26281.982311400017</v>
      </c>
      <c r="F16" s="26">
        <f t="shared" si="7"/>
        <v>29599.96353774202</v>
      </c>
      <c r="G16" s="26">
        <f t="shared" si="7"/>
        <v>31519.961730921852</v>
      </c>
      <c r="H16" s="26">
        <f t="shared" si="7"/>
        <v>32150.360965540294</v>
      </c>
      <c r="I16" s="26">
        <f t="shared" si="7"/>
        <v>32793.368184851097</v>
      </c>
    </row>
    <row r="17" spans="1:9" x14ac:dyDescent="0.35">
      <c r="A17" s="21" t="s">
        <v>43</v>
      </c>
      <c r="B17" s="27">
        <f t="shared" ref="B17:I17" si="8">B16/B4</f>
        <v>0.15715656061305644</v>
      </c>
      <c r="C17" s="27">
        <f t="shared" si="8"/>
        <v>0.17278461843420129</v>
      </c>
      <c r="D17" s="27">
        <f t="shared" si="8"/>
        <v>0.1881149989635148</v>
      </c>
      <c r="E17" s="27">
        <f t="shared" si="8"/>
        <v>0.20315337224465096</v>
      </c>
      <c r="F17" s="27">
        <f t="shared" si="8"/>
        <v>0.21790530032043209</v>
      </c>
      <c r="G17" s="27">
        <f t="shared" si="8"/>
        <v>0.22528126435832257</v>
      </c>
      <c r="H17" s="27">
        <f t="shared" si="8"/>
        <v>0.2252812643583226</v>
      </c>
      <c r="I17" s="27">
        <f t="shared" si="8"/>
        <v>0.2252812643583226</v>
      </c>
    </row>
    <row r="18" spans="1:9" x14ac:dyDescent="0.35">
      <c r="A18" s="28"/>
      <c r="B18" s="28"/>
      <c r="C18" s="23"/>
      <c r="D18" s="23"/>
      <c r="E18" s="23"/>
      <c r="F18" s="23"/>
      <c r="G18" s="23"/>
      <c r="H18" s="23"/>
      <c r="I18" s="23"/>
    </row>
    <row r="19" spans="1:9" x14ac:dyDescent="0.35">
      <c r="A19" s="29" t="s">
        <v>44</v>
      </c>
      <c r="B19" s="31">
        <v>1500</v>
      </c>
      <c r="C19" s="23">
        <f>'[1]Bal Sheet'!B28*C20</f>
        <v>1500</v>
      </c>
      <c r="D19" s="23">
        <f>'[1]Bal Sheet'!C28*D20</f>
        <v>1500</v>
      </c>
      <c r="E19" s="23">
        <f>'[1]Bal Sheet'!D28*E20</f>
        <v>1500</v>
      </c>
      <c r="F19" s="23">
        <f>'[1]Bal Sheet'!E28*F20</f>
        <v>1500</v>
      </c>
      <c r="G19" s="23">
        <f>'[1]Bal Sheet'!F28*G20</f>
        <v>1500</v>
      </c>
      <c r="H19" s="23">
        <f>'[1]Bal Sheet'!G28*H20</f>
        <v>1500</v>
      </c>
      <c r="I19" s="23">
        <f>'[1]Bal Sheet'!H28*I20</f>
        <v>1500</v>
      </c>
    </row>
    <row r="20" spans="1:9" x14ac:dyDescent="0.35">
      <c r="A20" s="21" t="s">
        <v>45</v>
      </c>
      <c r="B20" s="27">
        <f>B19/'[1]Bal Sheet'!B28</f>
        <v>0.05</v>
      </c>
      <c r="C20" s="27">
        <f>B20</f>
        <v>0.05</v>
      </c>
      <c r="D20" s="27">
        <f t="shared" ref="D20:I20" si="9">C20</f>
        <v>0.05</v>
      </c>
      <c r="E20" s="27">
        <f t="shared" si="9"/>
        <v>0.05</v>
      </c>
      <c r="F20" s="27">
        <f t="shared" si="9"/>
        <v>0.05</v>
      </c>
      <c r="G20" s="27">
        <f t="shared" si="9"/>
        <v>0.05</v>
      </c>
      <c r="H20" s="27">
        <f t="shared" si="9"/>
        <v>0.05</v>
      </c>
      <c r="I20" s="27">
        <f t="shared" si="9"/>
        <v>0.05</v>
      </c>
    </row>
    <row r="21" spans="1:9" x14ac:dyDescent="0.35">
      <c r="A21" s="29"/>
      <c r="B21" s="29"/>
      <c r="C21" s="23"/>
      <c r="D21" s="23"/>
      <c r="E21" s="23"/>
      <c r="F21" s="23"/>
      <c r="G21" s="23"/>
      <c r="H21" s="23"/>
      <c r="I21" s="23"/>
    </row>
    <row r="22" spans="1:9" x14ac:dyDescent="0.35">
      <c r="A22" s="25" t="s">
        <v>46</v>
      </c>
      <c r="B22" s="26">
        <f t="shared" ref="B22:I22" si="10">B16-B19</f>
        <v>16063</v>
      </c>
      <c r="C22" s="26">
        <f t="shared" si="10"/>
        <v>18774.986000000004</v>
      </c>
      <c r="D22" s="26">
        <f t="shared" si="10"/>
        <v>21677.586380000008</v>
      </c>
      <c r="E22" s="26">
        <f t="shared" si="10"/>
        <v>24781.982311400017</v>
      </c>
      <c r="F22" s="26">
        <f t="shared" si="10"/>
        <v>28099.96353774202</v>
      </c>
      <c r="G22" s="26">
        <f t="shared" si="10"/>
        <v>30019.961730921852</v>
      </c>
      <c r="H22" s="26">
        <f t="shared" si="10"/>
        <v>30650.360965540294</v>
      </c>
      <c r="I22" s="26">
        <f t="shared" si="10"/>
        <v>31293.368184851097</v>
      </c>
    </row>
    <row r="23" spans="1:9" x14ac:dyDescent="0.35">
      <c r="A23" s="29"/>
      <c r="B23" s="29"/>
      <c r="C23" s="23"/>
      <c r="D23" s="23"/>
      <c r="E23" s="23"/>
      <c r="F23" s="23"/>
      <c r="G23" s="23"/>
      <c r="H23" s="23"/>
      <c r="I23" s="23"/>
    </row>
    <row r="24" spans="1:9" x14ac:dyDescent="0.35">
      <c r="A24" s="29" t="s">
        <v>47</v>
      </c>
      <c r="B24" s="30">
        <v>2100</v>
      </c>
      <c r="C24" s="23">
        <f>C22*C25</f>
        <v>2454.5521135528857</v>
      </c>
      <c r="D24" s="23">
        <f t="shared" ref="D24:I24" si="11">D22*D25</f>
        <v>2834.024241922431</v>
      </c>
      <c r="E24" s="23">
        <f t="shared" si="11"/>
        <v>3239.8781581236403</v>
      </c>
      <c r="F24" s="23">
        <f t="shared" si="11"/>
        <v>3673.6551969904899</v>
      </c>
      <c r="G24" s="23">
        <f t="shared" si="11"/>
        <v>3924.6666024363994</v>
      </c>
      <c r="H24" s="23">
        <f t="shared" si="11"/>
        <v>4007.0819913860805</v>
      </c>
      <c r="I24" s="23">
        <f t="shared" si="11"/>
        <v>4091.1456881147542</v>
      </c>
    </row>
    <row r="25" spans="1:9" x14ac:dyDescent="0.35">
      <c r="A25" s="21" t="s">
        <v>48</v>
      </c>
      <c r="B25" s="27">
        <f>B24/B22</f>
        <v>0.13073523003174997</v>
      </c>
      <c r="C25" s="27">
        <f>B25</f>
        <v>0.13073523003174997</v>
      </c>
      <c r="D25" s="27">
        <f t="shared" ref="D25:I25" si="12">C25</f>
        <v>0.13073523003174997</v>
      </c>
      <c r="E25" s="27">
        <f t="shared" si="12"/>
        <v>0.13073523003174997</v>
      </c>
      <c r="F25" s="27">
        <f t="shared" si="12"/>
        <v>0.13073523003174997</v>
      </c>
      <c r="G25" s="27">
        <f t="shared" si="12"/>
        <v>0.13073523003174997</v>
      </c>
      <c r="H25" s="27">
        <f t="shared" si="12"/>
        <v>0.13073523003174997</v>
      </c>
      <c r="I25" s="27">
        <f t="shared" si="12"/>
        <v>0.13073523003174997</v>
      </c>
    </row>
    <row r="26" spans="1:9" x14ac:dyDescent="0.35">
      <c r="A26" s="29"/>
      <c r="B26" s="23"/>
      <c r="C26" s="23"/>
      <c r="D26" s="23"/>
      <c r="E26" s="23"/>
      <c r="F26" s="23"/>
      <c r="G26" s="23"/>
      <c r="H26" s="23"/>
      <c r="I26" s="23"/>
    </row>
    <row r="27" spans="1:9" x14ac:dyDescent="0.35">
      <c r="A27" s="32" t="s">
        <v>49</v>
      </c>
      <c r="B27" s="33">
        <f t="shared" ref="B27:I27" si="13">B22-B24</f>
        <v>13963</v>
      </c>
      <c r="C27" s="33">
        <f t="shared" si="13"/>
        <v>16320.433886447119</v>
      </c>
      <c r="D27" s="33">
        <f t="shared" si="13"/>
        <v>18843.562138077577</v>
      </c>
      <c r="E27" s="33">
        <f t="shared" si="13"/>
        <v>21542.104153276377</v>
      </c>
      <c r="F27" s="33">
        <f t="shared" si="13"/>
        <v>24426.30834075153</v>
      </c>
      <c r="G27" s="33">
        <f t="shared" si="13"/>
        <v>26095.295128485453</v>
      </c>
      <c r="H27" s="33">
        <f t="shared" si="13"/>
        <v>26643.278974154215</v>
      </c>
      <c r="I27" s="33">
        <f t="shared" si="13"/>
        <v>27202.222496736344</v>
      </c>
    </row>
    <row r="28" spans="1:9" x14ac:dyDescent="0.35">
      <c r="A28" s="29"/>
      <c r="B28" s="29"/>
      <c r="C28" s="29"/>
      <c r="D28" s="29"/>
      <c r="E28" s="29"/>
      <c r="F28" s="29"/>
      <c r="G28" s="29"/>
      <c r="H28" s="29"/>
      <c r="I28" s="29"/>
    </row>
    <row r="29" spans="1:9" x14ac:dyDescent="0.35">
      <c r="A29" s="29"/>
      <c r="B29" s="29"/>
      <c r="C29" s="29"/>
      <c r="D29" s="29"/>
      <c r="E29" s="29"/>
      <c r="F29" s="29"/>
      <c r="G29" s="29"/>
      <c r="H29" s="29"/>
      <c r="I29" s="29"/>
    </row>
    <row r="30" spans="1:9" ht="18.5" x14ac:dyDescent="0.45">
      <c r="A30" s="34" t="s">
        <v>50</v>
      </c>
      <c r="B30" s="34"/>
      <c r="C30" s="29"/>
      <c r="D30" s="29"/>
      <c r="E30" s="29"/>
      <c r="F30" s="29"/>
      <c r="G30" s="29"/>
      <c r="H30" s="29"/>
      <c r="I30" s="29"/>
    </row>
    <row r="31" spans="1:9" ht="15" customHeight="1" x14ac:dyDescent="0.45">
      <c r="A31" s="2"/>
      <c r="C31" s="35" t="s">
        <v>32</v>
      </c>
      <c r="D31" s="36"/>
      <c r="E31" s="36"/>
      <c r="F31" s="36"/>
      <c r="G31" s="36"/>
      <c r="H31" s="36"/>
      <c r="I31" s="36"/>
    </row>
    <row r="32" spans="1:9" x14ac:dyDescent="0.35">
      <c r="A32" s="17" t="s">
        <v>33</v>
      </c>
      <c r="B32" s="18"/>
      <c r="C32" s="18">
        <f>B32+1</f>
        <v>1</v>
      </c>
      <c r="D32" s="18">
        <f>C32+1</f>
        <v>2</v>
      </c>
      <c r="E32" s="18">
        <f t="shared" ref="E32:I32" si="14">D32+1</f>
        <v>3</v>
      </c>
      <c r="F32" s="18">
        <f t="shared" si="14"/>
        <v>4</v>
      </c>
      <c r="G32" s="18">
        <f t="shared" si="14"/>
        <v>5</v>
      </c>
      <c r="H32" s="18">
        <f t="shared" si="14"/>
        <v>6</v>
      </c>
      <c r="I32" s="18">
        <f t="shared" si="14"/>
        <v>7</v>
      </c>
    </row>
    <row r="33" spans="1:9" x14ac:dyDescent="0.35">
      <c r="A33" s="37"/>
      <c r="B33" s="37"/>
      <c r="C33" s="38"/>
      <c r="D33" s="38"/>
      <c r="E33" s="38"/>
      <c r="F33" s="38"/>
      <c r="G33" s="38"/>
      <c r="H33" s="38"/>
      <c r="I33" s="38"/>
    </row>
    <row r="34" spans="1:9" x14ac:dyDescent="0.35">
      <c r="A34" s="29" t="s">
        <v>49</v>
      </c>
      <c r="B34" s="23"/>
      <c r="C34" s="23">
        <f t="shared" ref="C34:I34" si="15">C27</f>
        <v>16320.433886447119</v>
      </c>
      <c r="D34" s="23">
        <f t="shared" si="15"/>
        <v>18843.562138077577</v>
      </c>
      <c r="E34" s="23">
        <f t="shared" si="15"/>
        <v>21542.104153276377</v>
      </c>
      <c r="F34" s="23">
        <f t="shared" si="15"/>
        <v>24426.30834075153</v>
      </c>
      <c r="G34" s="23">
        <f t="shared" si="15"/>
        <v>26095.295128485453</v>
      </c>
      <c r="H34" s="23">
        <f t="shared" si="15"/>
        <v>26643.278974154215</v>
      </c>
      <c r="I34" s="23">
        <f t="shared" si="15"/>
        <v>27202.222496736344</v>
      </c>
    </row>
    <row r="35" spans="1:9" x14ac:dyDescent="0.35">
      <c r="A35" s="29" t="s">
        <v>51</v>
      </c>
      <c r="B35" s="23"/>
      <c r="C35" s="23">
        <f t="shared" ref="C35:I35" si="16">C13</f>
        <v>2625</v>
      </c>
      <c r="D35" s="23">
        <f t="shared" si="16"/>
        <v>2756.2500000000005</v>
      </c>
      <c r="E35" s="23">
        <f t="shared" si="16"/>
        <v>2894.0625000000005</v>
      </c>
      <c r="F35" s="23">
        <f t="shared" si="16"/>
        <v>3038.7656250000005</v>
      </c>
      <c r="G35" s="23">
        <f t="shared" si="16"/>
        <v>3129.9285937500008</v>
      </c>
      <c r="H35" s="23">
        <f t="shared" si="16"/>
        <v>3192.5271656250006</v>
      </c>
      <c r="I35" s="23">
        <f t="shared" si="16"/>
        <v>3256.3777089375008</v>
      </c>
    </row>
    <row r="36" spans="1:9" x14ac:dyDescent="0.35">
      <c r="A36" s="29"/>
      <c r="B36" s="23"/>
      <c r="C36" s="23"/>
      <c r="D36" s="23"/>
      <c r="E36" s="23"/>
      <c r="F36" s="23"/>
      <c r="G36" s="23"/>
      <c r="H36" s="23"/>
      <c r="I36" s="23"/>
    </row>
    <row r="37" spans="1:9" x14ac:dyDescent="0.35">
      <c r="A37" s="39" t="s">
        <v>52</v>
      </c>
      <c r="B37" s="23"/>
      <c r="C37" s="23"/>
      <c r="D37" s="23"/>
      <c r="E37" s="23"/>
      <c r="F37" s="23"/>
      <c r="G37" s="23"/>
      <c r="H37" s="23"/>
      <c r="I37" s="23"/>
    </row>
    <row r="38" spans="1:9" x14ac:dyDescent="0.35">
      <c r="A38" s="29" t="s">
        <v>53</v>
      </c>
      <c r="B38" s="23"/>
      <c r="C38" s="23"/>
      <c r="D38" s="23"/>
      <c r="E38" s="23"/>
      <c r="F38" s="23"/>
      <c r="G38" s="23"/>
      <c r="H38" s="23"/>
      <c r="I38" s="23"/>
    </row>
    <row r="39" spans="1:9" x14ac:dyDescent="0.35">
      <c r="A39" s="29" t="s">
        <v>54</v>
      </c>
      <c r="B39" s="23"/>
      <c r="C39" s="23">
        <f>'[1]Bal Sheet'!B8-'[1]Bal Sheet'!C8</f>
        <v>-625.00000000000182</v>
      </c>
      <c r="D39" s="23">
        <f>'[1]Bal Sheet'!C8-'[1]Bal Sheet'!D8</f>
        <v>-656.25</v>
      </c>
      <c r="E39" s="23">
        <f>'[1]Bal Sheet'!D8-'[1]Bal Sheet'!E8</f>
        <v>-689.06250000000182</v>
      </c>
      <c r="F39" s="23">
        <f>'[1]Bal Sheet'!E8-'[1]Bal Sheet'!F8</f>
        <v>-723.515625</v>
      </c>
      <c r="G39" s="23">
        <f>'[1]Bal Sheet'!F8-'[1]Bal Sheet'!G8</f>
        <v>-455.81484375000036</v>
      </c>
      <c r="H39" s="23">
        <f>'[1]Bal Sheet'!G8-'[1]Bal Sheet'!H8</f>
        <v>-312.99285937500099</v>
      </c>
      <c r="I39" s="23">
        <f>'[1]Bal Sheet'!H8-'[1]Bal Sheet'!I8</f>
        <v>-319.2527165624997</v>
      </c>
    </row>
    <row r="40" spans="1:9" x14ac:dyDescent="0.35">
      <c r="A40" s="29" t="s">
        <v>55</v>
      </c>
      <c r="B40" s="23"/>
      <c r="C40" s="23">
        <f>'[1]Bal Sheet'!C22-'[1]Bal Sheet'!B22</f>
        <v>0</v>
      </c>
      <c r="D40" s="23">
        <f>'[1]Bal Sheet'!D22-'[1]Bal Sheet'!C22</f>
        <v>0</v>
      </c>
      <c r="E40" s="23">
        <f>'[1]Bal Sheet'!E22-'[1]Bal Sheet'!D22</f>
        <v>0</v>
      </c>
      <c r="F40" s="23">
        <f>'[1]Bal Sheet'!F22-'[1]Bal Sheet'!E22</f>
        <v>0</v>
      </c>
      <c r="G40" s="23">
        <f>'[1]Bal Sheet'!G22-'[1]Bal Sheet'!F22</f>
        <v>0</v>
      </c>
      <c r="H40" s="23">
        <f>'[1]Bal Sheet'!H22-'[1]Bal Sheet'!G22</f>
        <v>0</v>
      </c>
      <c r="I40" s="23">
        <f>'[1]Bal Sheet'!I22-'[1]Bal Sheet'!H22</f>
        <v>0</v>
      </c>
    </row>
    <row r="41" spans="1:9" x14ac:dyDescent="0.35">
      <c r="A41" s="29"/>
      <c r="B41" s="23"/>
      <c r="C41" s="23"/>
      <c r="D41" s="23"/>
      <c r="E41" s="23"/>
      <c r="F41" s="23"/>
      <c r="G41" s="23"/>
      <c r="H41" s="23"/>
      <c r="I41" s="23"/>
    </row>
    <row r="42" spans="1:9" x14ac:dyDescent="0.35">
      <c r="A42" s="25" t="s">
        <v>56</v>
      </c>
      <c r="B42" s="40"/>
      <c r="C42" s="26">
        <f t="shared" ref="C42:I42" si="17">SUM(C34:C40)</f>
        <v>18320.433886447121</v>
      </c>
      <c r="D42" s="26">
        <f t="shared" si="17"/>
        <v>20943.562138077577</v>
      </c>
      <c r="E42" s="26">
        <f t="shared" si="17"/>
        <v>23747.104153276377</v>
      </c>
      <c r="F42" s="26">
        <f t="shared" si="17"/>
        <v>26741.55834075153</v>
      </c>
      <c r="G42" s="26">
        <f t="shared" si="17"/>
        <v>28769.408878485454</v>
      </c>
      <c r="H42" s="26">
        <f t="shared" si="17"/>
        <v>29522.813280404214</v>
      </c>
      <c r="I42" s="26">
        <f t="shared" si="17"/>
        <v>30139.347489111344</v>
      </c>
    </row>
    <row r="43" spans="1:9" x14ac:dyDescent="0.35">
      <c r="A43" s="29"/>
      <c r="B43" s="23"/>
      <c r="C43" s="23"/>
      <c r="D43" s="23"/>
      <c r="E43" s="23"/>
      <c r="F43" s="23"/>
      <c r="G43" s="23"/>
      <c r="H43" s="23"/>
      <c r="I43" s="23"/>
    </row>
    <row r="44" spans="1:9" x14ac:dyDescent="0.35">
      <c r="A44" s="29"/>
      <c r="B44" s="23"/>
      <c r="C44" s="23"/>
      <c r="D44" s="23"/>
      <c r="E44" s="23"/>
      <c r="F44" s="23"/>
      <c r="G44" s="23"/>
      <c r="H44" s="23"/>
      <c r="I44" s="23"/>
    </row>
    <row r="45" spans="1:9" x14ac:dyDescent="0.35">
      <c r="A45" s="29" t="s">
        <v>57</v>
      </c>
      <c r="B45" s="23"/>
      <c r="C45" s="23">
        <f t="shared" ref="C45:I45" si="18">-C4*C46</f>
        <v>-8213.9778000000006</v>
      </c>
      <c r="D45" s="23">
        <f t="shared" si="18"/>
        <v>-8624.6766900000021</v>
      </c>
      <c r="E45" s="23">
        <f t="shared" si="18"/>
        <v>-9055.9105245000028</v>
      </c>
      <c r="F45" s="23">
        <f t="shared" si="18"/>
        <v>-9508.7060507250026</v>
      </c>
      <c r="G45" s="23">
        <f t="shared" si="18"/>
        <v>-9793.9672322467541</v>
      </c>
      <c r="H45" s="23">
        <f t="shared" si="18"/>
        <v>-9989.8465768916885</v>
      </c>
      <c r="I45" s="23">
        <f t="shared" si="18"/>
        <v>-10189.643508429523</v>
      </c>
    </row>
    <row r="46" spans="1:9" x14ac:dyDescent="0.35">
      <c r="A46" s="21" t="s">
        <v>58</v>
      </c>
      <c r="B46" s="23"/>
      <c r="C46" s="41">
        <v>7.0000000000000007E-2</v>
      </c>
      <c r="D46" s="41">
        <v>7.0000000000000007E-2</v>
      </c>
      <c r="E46" s="41">
        <v>7.0000000000000007E-2</v>
      </c>
      <c r="F46" s="41">
        <v>7.0000000000000007E-2</v>
      </c>
      <c r="G46" s="41">
        <v>7.0000000000000007E-2</v>
      </c>
      <c r="H46" s="41">
        <v>7.0000000000000007E-2</v>
      </c>
      <c r="I46" s="41">
        <v>7.0000000000000007E-2</v>
      </c>
    </row>
    <row r="47" spans="1:9" x14ac:dyDescent="0.35">
      <c r="A47" s="21"/>
      <c r="B47" s="23"/>
      <c r="C47" s="42"/>
      <c r="D47" s="42"/>
      <c r="E47" s="42"/>
      <c r="F47" s="42"/>
      <c r="G47" s="42"/>
      <c r="H47" s="42"/>
      <c r="I47" s="42"/>
    </row>
    <row r="48" spans="1:9" x14ac:dyDescent="0.35">
      <c r="A48" s="25" t="s">
        <v>59</v>
      </c>
      <c r="B48" s="40"/>
      <c r="C48" s="26">
        <f t="shared" ref="C48:I48" si="19">SUM(C45)</f>
        <v>-8213.9778000000006</v>
      </c>
      <c r="D48" s="26">
        <f t="shared" si="19"/>
        <v>-8624.6766900000021</v>
      </c>
      <c r="E48" s="26">
        <f t="shared" si="19"/>
        <v>-9055.9105245000028</v>
      </c>
      <c r="F48" s="26">
        <f t="shared" si="19"/>
        <v>-9508.7060507250026</v>
      </c>
      <c r="G48" s="26">
        <f t="shared" si="19"/>
        <v>-9793.9672322467541</v>
      </c>
      <c r="H48" s="26">
        <f t="shared" si="19"/>
        <v>-9989.8465768916885</v>
      </c>
      <c r="I48" s="26">
        <f t="shared" si="19"/>
        <v>-10189.643508429523</v>
      </c>
    </row>
    <row r="49" spans="1:9" x14ac:dyDescent="0.35">
      <c r="A49" s="28"/>
      <c r="B49" s="23"/>
      <c r="C49" s="23"/>
      <c r="D49" s="23"/>
      <c r="E49" s="23"/>
      <c r="F49" s="23"/>
      <c r="G49" s="23"/>
      <c r="H49" s="23"/>
      <c r="I49" s="23"/>
    </row>
    <row r="50" spans="1:9" x14ac:dyDescent="0.35">
      <c r="A50" s="28"/>
      <c r="B50" s="23"/>
      <c r="C50" s="23"/>
      <c r="D50" s="23"/>
      <c r="E50" s="23"/>
      <c r="F50" s="23"/>
      <c r="G50" s="23"/>
      <c r="H50" s="23"/>
      <c r="I50" s="23"/>
    </row>
    <row r="51" spans="1:9" x14ac:dyDescent="0.35">
      <c r="A51" s="29" t="s">
        <v>60</v>
      </c>
      <c r="B51" s="23"/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</row>
    <row r="52" spans="1:9" x14ac:dyDescent="0.35">
      <c r="A52" s="29" t="s">
        <v>61</v>
      </c>
      <c r="B52" s="23"/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</row>
    <row r="53" spans="1:9" x14ac:dyDescent="0.35">
      <c r="A53" s="25" t="s">
        <v>62</v>
      </c>
      <c r="B53" s="40"/>
      <c r="C53" s="26">
        <f>SUM(C51:C52)</f>
        <v>0</v>
      </c>
      <c r="D53" s="26">
        <f t="shared" ref="D53:I53" si="20">SUM(D51:D52)</f>
        <v>0</v>
      </c>
      <c r="E53" s="26">
        <f t="shared" si="20"/>
        <v>0</v>
      </c>
      <c r="F53" s="26">
        <f t="shared" si="20"/>
        <v>0</v>
      </c>
      <c r="G53" s="26">
        <f t="shared" si="20"/>
        <v>0</v>
      </c>
      <c r="H53" s="26">
        <f t="shared" si="20"/>
        <v>0</v>
      </c>
      <c r="I53" s="26">
        <f t="shared" si="20"/>
        <v>0</v>
      </c>
    </row>
    <row r="54" spans="1:9" x14ac:dyDescent="0.35">
      <c r="A54" s="29"/>
      <c r="B54" s="23"/>
      <c r="C54" s="23"/>
      <c r="D54" s="23"/>
      <c r="E54" s="23"/>
      <c r="F54" s="23"/>
      <c r="G54" s="23"/>
      <c r="H54" s="23"/>
      <c r="I54" s="23"/>
    </row>
    <row r="55" spans="1:9" x14ac:dyDescent="0.35">
      <c r="A55" s="29" t="s">
        <v>63</v>
      </c>
      <c r="B55" s="23"/>
      <c r="C55" s="23">
        <f>'[1]Bal Sheet'!B6</f>
        <v>7500</v>
      </c>
      <c r="D55" s="23">
        <f>C57</f>
        <v>17606.45608644712</v>
      </c>
      <c r="E55" s="23">
        <f t="shared" ref="E55:I55" si="21">D57</f>
        <v>29925.341534524698</v>
      </c>
      <c r="F55" s="23">
        <f t="shared" si="21"/>
        <v>44616.535163301072</v>
      </c>
      <c r="G55" s="23">
        <f t="shared" si="21"/>
        <v>61849.387453327596</v>
      </c>
      <c r="H55" s="23">
        <f t="shared" si="21"/>
        <v>80824.829099566297</v>
      </c>
      <c r="I55" s="23">
        <f t="shared" si="21"/>
        <v>100357.79580307883</v>
      </c>
    </row>
    <row r="56" spans="1:9" x14ac:dyDescent="0.35">
      <c r="A56" s="29" t="s">
        <v>64</v>
      </c>
      <c r="B56" s="23"/>
      <c r="C56" s="23">
        <f>C42+C48+C53</f>
        <v>10106.45608644712</v>
      </c>
      <c r="D56" s="23">
        <f t="shared" ref="D56:I56" si="22">D42+D48+D53</f>
        <v>12318.885448077575</v>
      </c>
      <c r="E56" s="23">
        <f t="shared" si="22"/>
        <v>14691.193628776375</v>
      </c>
      <c r="F56" s="23">
        <f t="shared" si="22"/>
        <v>17232.852290026527</v>
      </c>
      <c r="G56" s="23">
        <f t="shared" si="22"/>
        <v>18975.441646238702</v>
      </c>
      <c r="H56" s="23">
        <f t="shared" si="22"/>
        <v>19532.966703512524</v>
      </c>
      <c r="I56" s="23">
        <f t="shared" si="22"/>
        <v>19949.703980681821</v>
      </c>
    </row>
    <row r="57" spans="1:9" x14ac:dyDescent="0.35">
      <c r="A57" s="32" t="s">
        <v>65</v>
      </c>
      <c r="B57" s="33"/>
      <c r="C57" s="33">
        <f>C55+C56</f>
        <v>17606.45608644712</v>
      </c>
      <c r="D57" s="33">
        <f t="shared" ref="D57:I57" si="23">D55+D56</f>
        <v>29925.341534524698</v>
      </c>
      <c r="E57" s="33">
        <f t="shared" si="23"/>
        <v>44616.535163301072</v>
      </c>
      <c r="F57" s="33">
        <f t="shared" si="23"/>
        <v>61849.387453327596</v>
      </c>
      <c r="G57" s="33">
        <f t="shared" si="23"/>
        <v>80824.829099566297</v>
      </c>
      <c r="H57" s="33">
        <f t="shared" si="23"/>
        <v>100357.79580307883</v>
      </c>
      <c r="I57" s="33">
        <f t="shared" si="23"/>
        <v>120307.49978376065</v>
      </c>
    </row>
    <row r="58" spans="1:9" x14ac:dyDescent="0.35">
      <c r="A58" s="29"/>
      <c r="B58" s="29"/>
      <c r="C58" s="29"/>
      <c r="D58" s="29"/>
      <c r="E58" s="29"/>
      <c r="F58" s="29"/>
      <c r="G58" s="29"/>
      <c r="H58" s="29"/>
      <c r="I58" s="29"/>
    </row>
    <row r="59" spans="1:9" x14ac:dyDescent="0.35">
      <c r="A59" s="29"/>
      <c r="B59" s="29"/>
      <c r="C59" s="29"/>
      <c r="D59" s="29"/>
      <c r="E59" s="29"/>
      <c r="F59" s="29"/>
      <c r="G59" s="29"/>
      <c r="H59" s="29"/>
      <c r="I59" s="29"/>
    </row>
    <row r="74" spans="6:6" x14ac:dyDescent="0.35">
      <c r="F74" s="29"/>
    </row>
    <row r="75" spans="6:6" x14ac:dyDescent="0.35">
      <c r="F75" s="29"/>
    </row>
    <row r="76" spans="6:6" x14ac:dyDescent="0.35">
      <c r="F76" s="29"/>
    </row>
    <row r="77" spans="6:6" x14ac:dyDescent="0.35">
      <c r="F77" s="29"/>
    </row>
    <row r="78" spans="6:6" x14ac:dyDescent="0.35">
      <c r="F78" s="29"/>
    </row>
    <row r="79" spans="6:6" x14ac:dyDescent="0.35">
      <c r="F79" s="29"/>
    </row>
    <row r="80" spans="6:6" x14ac:dyDescent="0.35">
      <c r="F80" s="29"/>
    </row>
    <row r="81" spans="6:6" x14ac:dyDescent="0.35">
      <c r="F81" s="29"/>
    </row>
    <row r="82" spans="6:6" x14ac:dyDescent="0.35">
      <c r="F82" s="29"/>
    </row>
    <row r="83" spans="6:6" x14ac:dyDescent="0.35">
      <c r="F83" s="29"/>
    </row>
    <row r="84" spans="6:6" x14ac:dyDescent="0.35">
      <c r="F84" s="29"/>
    </row>
    <row r="85" spans="6:6" x14ac:dyDescent="0.35">
      <c r="F85" s="29"/>
    </row>
    <row r="86" spans="6:6" x14ac:dyDescent="0.35">
      <c r="F86" s="29"/>
    </row>
    <row r="87" spans="6:6" x14ac:dyDescent="0.35">
      <c r="F87" s="29"/>
    </row>
    <row r="88" spans="6:6" x14ac:dyDescent="0.35">
      <c r="F88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6" sqref="H6"/>
    </sheetView>
  </sheetViews>
  <sheetFormatPr defaultRowHeight="14.5" x14ac:dyDescent="0.35"/>
  <cols>
    <col min="1" max="1" width="38" bestFit="1" customWidth="1"/>
    <col min="2" max="2" width="9.453125" bestFit="1" customWidth="1"/>
    <col min="3" max="3" width="8.36328125" bestFit="1" customWidth="1"/>
    <col min="4" max="8" width="9.08984375" bestFit="1" customWidth="1"/>
    <col min="9" max="9" width="11.90625" bestFit="1" customWidth="1"/>
  </cols>
  <sheetData>
    <row r="1" spans="1:9" ht="18.5" x14ac:dyDescent="0.45">
      <c r="A1" s="2" t="s">
        <v>0</v>
      </c>
    </row>
    <row r="2" spans="1:9" x14ac:dyDescent="0.35">
      <c r="B2" s="9" t="s">
        <v>93</v>
      </c>
      <c r="C2" s="9" t="s">
        <v>19</v>
      </c>
    </row>
    <row r="3" spans="1:9" x14ac:dyDescent="0.35">
      <c r="A3" t="s">
        <v>1</v>
      </c>
      <c r="B3" s="53">
        <f>'Balance Sheet'!B29</f>
        <v>30000</v>
      </c>
      <c r="C3" s="53">
        <f>'Balance Sheet'!C34</f>
        <v>36320.433886447121</v>
      </c>
    </row>
    <row r="4" spans="1:9" x14ac:dyDescent="0.35">
      <c r="A4" t="s">
        <v>2</v>
      </c>
      <c r="B4" s="54">
        <f>B3/SUM($B$3:$C$3)</f>
        <v>0.45234927219212051</v>
      </c>
      <c r="C4" s="54">
        <f>C3/SUM($B$3:$C$3)</f>
        <v>0.54765072780787949</v>
      </c>
    </row>
    <row r="5" spans="1:9" x14ac:dyDescent="0.35">
      <c r="A5" t="s">
        <v>3</v>
      </c>
      <c r="B5" s="55">
        <f>'IS and Cash Flow'!C20*(1-'IS and Cash Flow'!C25)</f>
        <v>4.3463238498412507E-2</v>
      </c>
      <c r="C5" s="57">
        <v>0.15</v>
      </c>
    </row>
    <row r="6" spans="1:9" x14ac:dyDescent="0.35">
      <c r="A6" s="3" t="s">
        <v>4</v>
      </c>
      <c r="B6" s="56">
        <f>(B4*B5)+(C4*C5)</f>
        <v>0.10180817347305138</v>
      </c>
      <c r="C6" s="4"/>
    </row>
    <row r="7" spans="1:9" x14ac:dyDescent="0.35">
      <c r="B7" s="54"/>
    </row>
    <row r="8" spans="1:9" x14ac:dyDescent="0.35">
      <c r="A8" s="1" t="s">
        <v>5</v>
      </c>
      <c r="B8" s="59">
        <v>0.02</v>
      </c>
    </row>
    <row r="10" spans="1:9" ht="18.5" x14ac:dyDescent="0.45">
      <c r="A10" s="2" t="s">
        <v>6</v>
      </c>
    </row>
    <row r="11" spans="1:9" s="5" customFormat="1" x14ac:dyDescent="0.35">
      <c r="A11" s="7" t="s">
        <v>20</v>
      </c>
      <c r="B11" s="8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8" t="s">
        <v>12</v>
      </c>
      <c r="H11" s="8" t="s">
        <v>21</v>
      </c>
      <c r="I11" s="8" t="s">
        <v>22</v>
      </c>
    </row>
    <row r="13" spans="1:9" x14ac:dyDescent="0.35">
      <c r="A13" t="s">
        <v>13</v>
      </c>
      <c r="C13" s="52">
        <f>'IS and Cash Flow'!C27</f>
        <v>16320.433886447119</v>
      </c>
      <c r="D13" s="52">
        <f>'IS and Cash Flow'!D27</f>
        <v>18843.562138077577</v>
      </c>
      <c r="E13" s="52">
        <f>'IS and Cash Flow'!E27</f>
        <v>21542.104153276377</v>
      </c>
      <c r="F13" s="52">
        <f>'IS and Cash Flow'!F27</f>
        <v>24426.30834075153</v>
      </c>
      <c r="G13" s="52">
        <f>'IS and Cash Flow'!G27</f>
        <v>26095.295128485453</v>
      </c>
      <c r="H13" s="52">
        <f>'IS and Cash Flow'!H27</f>
        <v>26643.278974154215</v>
      </c>
      <c r="I13" s="52">
        <f>'IS and Cash Flow'!I27</f>
        <v>27202.222496736344</v>
      </c>
    </row>
    <row r="14" spans="1:9" x14ac:dyDescent="0.35">
      <c r="A14" s="6" t="s">
        <v>14</v>
      </c>
      <c r="C14" s="53">
        <f>'IS and Cash Flow'!C13</f>
        <v>2625</v>
      </c>
      <c r="D14" s="53">
        <f>'IS and Cash Flow'!D13</f>
        <v>2756.2500000000005</v>
      </c>
      <c r="E14" s="53">
        <f>'IS and Cash Flow'!E13</f>
        <v>2894.0625000000005</v>
      </c>
      <c r="F14" s="53">
        <f>'IS and Cash Flow'!F13</f>
        <v>3038.7656250000005</v>
      </c>
      <c r="G14" s="53">
        <f>'IS and Cash Flow'!G13</f>
        <v>3129.9285937500008</v>
      </c>
      <c r="H14" s="53">
        <f>'IS and Cash Flow'!H13</f>
        <v>3192.5271656250006</v>
      </c>
      <c r="I14" s="53">
        <f>'IS and Cash Flow'!I13</f>
        <v>3256.3777089375008</v>
      </c>
    </row>
    <row r="15" spans="1:9" x14ac:dyDescent="0.35">
      <c r="A15" s="6" t="s">
        <v>15</v>
      </c>
      <c r="C15" s="52">
        <f>'IS and Cash Flow'!C19*(1-'IS and Cash Flow'!C25)</f>
        <v>1303.8971549523751</v>
      </c>
      <c r="D15" s="52">
        <f>'IS and Cash Flow'!D19*(1-'IS and Cash Flow'!D25)</f>
        <v>1303.8971549523751</v>
      </c>
      <c r="E15" s="52">
        <f>'IS and Cash Flow'!E19*(1-'IS and Cash Flow'!E25)</f>
        <v>1303.8971549523751</v>
      </c>
      <c r="F15" s="52">
        <f>'IS and Cash Flow'!F19*(1-'IS and Cash Flow'!F25)</f>
        <v>1303.8971549523751</v>
      </c>
      <c r="G15" s="52">
        <f>'IS and Cash Flow'!G19*(1-'IS and Cash Flow'!G25)</f>
        <v>1303.8971549523751</v>
      </c>
      <c r="H15" s="52">
        <f>'IS and Cash Flow'!H19*(1-'IS and Cash Flow'!H25)</f>
        <v>1303.8971549523751</v>
      </c>
      <c r="I15" s="52">
        <f>'IS and Cash Flow'!I19*(1-'IS and Cash Flow'!I25)</f>
        <v>1303.8971549523751</v>
      </c>
    </row>
    <row r="16" spans="1:9" x14ac:dyDescent="0.35">
      <c r="A16" s="6" t="s">
        <v>16</v>
      </c>
      <c r="C16" s="52">
        <f>'IS and Cash Flow'!C45</f>
        <v>-8213.9778000000006</v>
      </c>
      <c r="D16" s="52">
        <f>'IS and Cash Flow'!D45</f>
        <v>-8624.6766900000021</v>
      </c>
      <c r="E16" s="52">
        <f>'IS and Cash Flow'!E45</f>
        <v>-9055.9105245000028</v>
      </c>
      <c r="F16" s="52">
        <f>'IS and Cash Flow'!F45</f>
        <v>-9508.7060507250026</v>
      </c>
      <c r="G16" s="52">
        <f>'IS and Cash Flow'!G45</f>
        <v>-9793.9672322467541</v>
      </c>
      <c r="H16" s="52">
        <f>'IS and Cash Flow'!H45</f>
        <v>-9989.8465768916885</v>
      </c>
      <c r="I16" s="52">
        <f>'IS and Cash Flow'!I45</f>
        <v>-10189.643508429523</v>
      </c>
    </row>
    <row r="17" spans="1:9" x14ac:dyDescent="0.35">
      <c r="A17" s="6" t="s">
        <v>17</v>
      </c>
      <c r="C17" s="53">
        <f>SUM('IS and Cash Flow'!C38:C40)</f>
        <v>-625.00000000000182</v>
      </c>
      <c r="D17" s="53">
        <f>SUM('IS and Cash Flow'!D38:D40)</f>
        <v>-656.25</v>
      </c>
      <c r="E17" s="53">
        <f>SUM('IS and Cash Flow'!E38:E40)</f>
        <v>-689.06250000000182</v>
      </c>
      <c r="F17" s="53">
        <f>SUM('IS and Cash Flow'!F38:F40)</f>
        <v>-723.515625</v>
      </c>
      <c r="G17" s="53">
        <f>SUM('IS and Cash Flow'!G38:G40)</f>
        <v>-455.81484375000036</v>
      </c>
      <c r="H17" s="53">
        <f>SUM('IS and Cash Flow'!H38:H40)</f>
        <v>-312.99285937500099</v>
      </c>
      <c r="I17" s="53">
        <f>SUM('IS and Cash Flow'!I38:I40)</f>
        <v>-319.2527165624997</v>
      </c>
    </row>
    <row r="18" spans="1:9" x14ac:dyDescent="0.35">
      <c r="A18" s="10" t="s">
        <v>18</v>
      </c>
      <c r="B18" s="10"/>
      <c r="C18" s="58">
        <f>SUM(C13:C17)</f>
        <v>11410.353241399493</v>
      </c>
      <c r="D18" s="58">
        <f t="shared" ref="D18:I18" si="0">SUM(D13:D17)</f>
        <v>13622.782603029949</v>
      </c>
      <c r="E18" s="58">
        <f t="shared" si="0"/>
        <v>15995.090783728747</v>
      </c>
      <c r="F18" s="58">
        <f t="shared" si="0"/>
        <v>18536.749444978901</v>
      </c>
      <c r="G18" s="58">
        <f t="shared" si="0"/>
        <v>20279.338801191072</v>
      </c>
      <c r="H18" s="58">
        <f t="shared" si="0"/>
        <v>20836.863858464902</v>
      </c>
      <c r="I18" s="58">
        <f t="shared" si="0"/>
        <v>21253.601135634195</v>
      </c>
    </row>
    <row r="19" spans="1:9" x14ac:dyDescent="0.35">
      <c r="A19" s="6" t="s">
        <v>23</v>
      </c>
      <c r="I19" s="60">
        <f>I18*(1+B8)/(B6-B8)</f>
        <v>264993.97600519832</v>
      </c>
    </row>
    <row r="20" spans="1:9" x14ac:dyDescent="0.35">
      <c r="A20" s="12" t="s">
        <v>24</v>
      </c>
      <c r="B20" s="4"/>
      <c r="C20" s="65">
        <f>SUM(C18:C19)</f>
        <v>11410.353241399493</v>
      </c>
      <c r="D20" s="65">
        <f t="shared" ref="D20:I20" si="1">SUM(D18:D19)</f>
        <v>13622.782603029949</v>
      </c>
      <c r="E20" s="65">
        <f t="shared" si="1"/>
        <v>15995.090783728747</v>
      </c>
      <c r="F20" s="65">
        <f t="shared" si="1"/>
        <v>18536.749444978901</v>
      </c>
      <c r="G20" s="65">
        <f t="shared" si="1"/>
        <v>20279.338801191072</v>
      </c>
      <c r="H20" s="65">
        <f t="shared" si="1"/>
        <v>20836.863858464902</v>
      </c>
      <c r="I20" s="65">
        <f t="shared" si="1"/>
        <v>286247.57714083249</v>
      </c>
    </row>
    <row r="22" spans="1:9" x14ac:dyDescent="0.35">
      <c r="A22" s="11" t="s">
        <v>25</v>
      </c>
      <c r="B22" s="61">
        <f>NPV(B6,C20:I20)</f>
        <v>215460.36639484036</v>
      </c>
    </row>
    <row r="23" spans="1:9" x14ac:dyDescent="0.35">
      <c r="A23" s="6" t="s">
        <v>26</v>
      </c>
      <c r="B23" s="52">
        <f>'Balance Sheet'!B6</f>
        <v>7500</v>
      </c>
    </row>
    <row r="24" spans="1:9" x14ac:dyDescent="0.35">
      <c r="A24" s="6" t="s">
        <v>27</v>
      </c>
      <c r="B24" s="52">
        <f>-'Balance Sheet'!B28</f>
        <v>-30000</v>
      </c>
    </row>
    <row r="25" spans="1:9" x14ac:dyDescent="0.35">
      <c r="A25" s="13" t="s">
        <v>28</v>
      </c>
      <c r="B25" s="62">
        <f>SUM(B22:B24)</f>
        <v>192960.36639484036</v>
      </c>
    </row>
    <row r="27" spans="1:9" x14ac:dyDescent="0.35">
      <c r="A27" s="14" t="s">
        <v>29</v>
      </c>
      <c r="B27" s="64">
        <v>5000</v>
      </c>
    </row>
    <row r="28" spans="1:9" x14ac:dyDescent="0.35">
      <c r="A28" s="13" t="s">
        <v>30</v>
      </c>
      <c r="B28" s="63">
        <f>B25/B27</f>
        <v>38.592073278968073</v>
      </c>
    </row>
  </sheetData>
  <phoneticPr fontId="5" type="noConversion"/>
  <pageMargins left="0.7" right="0.7" top="0.75" bottom="0.75" header="0.3" footer="0.3"/>
  <pageSetup paperSize="9" orientation="portrait" horizontalDpi="0" verticalDpi="0" r:id="rId1"/>
  <ignoredErrors>
    <ignoredError sqref="I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IS and Cash Flow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rotimi</dc:creator>
  <cp:lastModifiedBy>michael rotimi</cp:lastModifiedBy>
  <dcterms:created xsi:type="dcterms:W3CDTF">2015-06-05T18:17:20Z</dcterms:created>
  <dcterms:modified xsi:type="dcterms:W3CDTF">2026-01-06T19:17:45Z</dcterms:modified>
</cp:coreProperties>
</file>